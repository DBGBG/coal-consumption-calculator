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00" windowHeight="11925" activeTab="1"/>
  </bookViews>
  <sheets>
    <sheet name="25年对比" sheetId="16" r:id="rId1"/>
    <sheet name="供热相关" sheetId="1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<sst xmlns="http://schemas.openxmlformats.org/spreadsheetml/2006/main" count="663" uniqueCount="147">
  <si>
    <t>25年机组改造前测算</t>
  </si>
  <si>
    <t>2025年5—9月测算与对比</t>
  </si>
  <si>
    <t>2025第四季度测算表</t>
  </si>
  <si>
    <t>影响因素</t>
  </si>
  <si>
    <t>基准</t>
  </si>
  <si>
    <t>单位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</si>
  <si>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</si>
  <si>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</si>
  <si>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</si>
  <si>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</si>
  <si>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</si>
  <si>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</si>
  <si>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</si>
  <si>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</si>
  <si>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</si>
  <si>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</si>
  <si>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</si>
  <si>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</si>
  <si>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当月数据</t>
  </si>
  <si>
    <t>影响煤耗系数</t>
  </si>
  <si>
    <t>自然条件</t>
  </si>
  <si>
    <t>海水温度</t>
  </si>
  <si>
    <t>℃</t>
  </si>
  <si>
    <t>当地气温</t>
  </si>
  <si>
    <t>煤种</t>
  </si>
  <si>
    <t>热值</t>
  </si>
  <si>
    <t>kcal/kg</t>
  </si>
  <si>
    <t>电煤水分</t>
  </si>
  <si>
    <t>%</t>
  </si>
  <si>
    <t>灰分</t>
  </si>
  <si>
    <t>1#机组</t>
  </si>
  <si>
    <t>发电量（月）</t>
  </si>
  <si>
    <t>万KWh</t>
  </si>
  <si>
    <t>21400.4999999996</t>
  </si>
  <si>
    <t>21454.6200000001</t>
  </si>
  <si>
    <t>发电天数</t>
  </si>
  <si>
    <t>/</t>
  </si>
  <si>
    <t>机组负荷率</t>
  </si>
  <si>
    <t>开/停机次数</t>
  </si>
  <si>
    <t>供热影响</t>
  </si>
  <si>
    <t>供暖（日）</t>
  </si>
  <si>
    <t>GJ</t>
  </si>
  <si>
    <t>2252.55357142857</t>
  </si>
  <si>
    <t>低压供汽（日）</t>
  </si>
  <si>
    <t>t</t>
  </si>
  <si>
    <t>中压供汽（日）</t>
  </si>
  <si>
    <t>总系数（各系数相乘）</t>
  </si>
  <si>
    <t>供电基准煤耗</t>
  </si>
  <si>
    <t>gce/kwh</t>
  </si>
  <si>
    <t>2#机组</t>
  </si>
  <si>
    <t>万kWh</t>
  </si>
  <si>
    <t>天</t>
  </si>
  <si>
    <t>实际煤耗</t>
  </si>
  <si>
    <t>合计</t>
  </si>
  <si>
    <t>计算供电煤耗</t>
  </si>
  <si>
    <t>1#启停机次数</t>
  </si>
  <si>
    <t>2#启停机次数</t>
  </si>
  <si>
    <t>1#机组实际煤耗</t>
  </si>
  <si>
    <t>343.87176542636</t>
  </si>
  <si>
    <t>355.965212155414</t>
  </si>
  <si>
    <t>322.84335839599</t>
  </si>
  <si>
    <t>323.922104629833</t>
  </si>
  <si>
    <t>314.546747103695</t>
  </si>
  <si>
    <t>354.401879553194</t>
  </si>
  <si>
    <t>349.623463813163</t>
  </si>
  <si>
    <t>347.849902461091</t>
  </si>
  <si>
    <t>2#机组实际煤耗</t>
  </si>
  <si>
    <t>369.373755204373</t>
  </si>
  <si>
    <t>347.492573341902</t>
  </si>
  <si>
    <t>361.440964718822</t>
  </si>
  <si>
    <t>322.298079877533</t>
  </si>
  <si>
    <t>287.567448205398</t>
  </si>
  <si>
    <t>348.369540336097</t>
  </si>
  <si>
    <t>350.028529230323</t>
  </si>
  <si>
    <t>340.223708896262</t>
  </si>
  <si>
    <t>合计实际煤耗</t>
  </si>
  <si>
    <t>361.567873910828</t>
  </si>
  <si>
    <t>354.842128129048</t>
  </si>
  <si>
    <t>362.986312434444</t>
  </si>
  <si>
    <t>325.158643736106</t>
  </si>
  <si>
    <t>325.978873618197</t>
  </si>
  <si>
    <t>314.108336069506</t>
  </si>
  <si>
    <t>351.754921414995</t>
  </si>
  <si>
    <t>349.838552190733</t>
  </si>
  <si>
    <t>344.223951560465</t>
  </si>
  <si>
    <t>折供热煤耗</t>
  </si>
  <si>
    <t>330.904753035794</t>
  </si>
  <si>
    <t>320.583320564253</t>
  </si>
  <si>
    <t>331.098727439167</t>
  </si>
  <si>
    <t>应折标煤(T/日）</t>
  </si>
  <si>
    <t>实折标煤(T/日）</t>
  </si>
  <si>
    <t>实际消耗(T/日）</t>
  </si>
  <si>
    <t>应折占比</t>
  </si>
  <si>
    <t>求和</t>
  </si>
  <si>
    <t>国折标煤(T/日）</t>
  </si>
  <si>
    <t>2#机组供热量（GJ）</t>
  </si>
  <si>
    <t>38Kg/GJ时煤耗</t>
  </si>
  <si>
    <t>40Kg/GJ时煤耗</t>
  </si>
  <si>
    <t>42Kg/GJ时煤耗</t>
  </si>
  <si>
    <t>38-40</t>
  </si>
  <si>
    <t>40-42</t>
  </si>
  <si>
    <t>38-42</t>
  </si>
  <si>
    <t>公司</t>
  </si>
  <si>
    <t>国标</t>
  </si>
  <si>
    <t>吨</t>
  </si>
  <si>
    <t>热实折</t>
  </si>
  <si>
    <t>热实耗</t>
  </si>
  <si>
    <t>不可利用比例</t>
  </si>
  <si>
    <t>可利用煤量</t>
  </si>
  <si>
    <t>每天多折部分</t>
  </si>
  <si>
    <t>可利用煤量=</t>
  </si>
  <si>
    <t>供热比</t>
  </si>
  <si>
    <t>抽汽效率</t>
  </si>
  <si>
    <t>热电比</t>
  </si>
  <si>
    <t>供汽压力</t>
  </si>
  <si>
    <t>阿尔法=日供热量/(日供热量（GJ）+日发电量（万KWh)*10*3.6)</t>
  </si>
  <si>
    <t>Rj=日供热量/日发电量（万KWh)*10*3.6</t>
  </si>
  <si>
    <t>高压抽汽口</t>
  </si>
  <si>
    <t>中压抽汽口</t>
  </si>
  <si>
    <t>凝汽器排汽</t>
  </si>
  <si>
    <t>供暖抽汽压力</t>
  </si>
  <si>
    <t>小于3MPa</t>
  </si>
  <si>
    <t>一抽再加热</t>
  </si>
  <si>
    <t>热再</t>
  </si>
  <si>
    <t>饱和蒸汽</t>
  </si>
  <si>
    <t>汽化潜热</t>
  </si>
  <si>
    <t>四抽母管</t>
  </si>
  <si>
    <t>大于3MPa</t>
  </si>
  <si>
    <t>压力</t>
  </si>
  <si>
    <t>温度</t>
  </si>
  <si>
    <t>焓值</t>
  </si>
  <si>
    <t>一、供暖量</t>
  </si>
  <si>
    <t>2024年50MW机组外供量</t>
  </si>
  <si>
    <t>岚山供汽A段（煤气发电供）</t>
  </si>
  <si>
    <t>A段</t>
  </si>
  <si>
    <t>流量</t>
  </si>
  <si>
    <t>热力（GJ）</t>
  </si>
  <si>
    <r>
      <rPr>
        <b/>
        <sz val="12"/>
        <color rgb="FF000000"/>
        <rFont val="宋体"/>
        <charset val="134"/>
      </rPr>
      <t>岚山供汽B段（煤气发电供），</t>
    </r>
    <r>
      <rPr>
        <b/>
        <sz val="12"/>
        <color rgb="FFFF0000"/>
        <rFont val="宋体"/>
        <charset val="134"/>
      </rPr>
      <t>B段预计三四月份供</t>
    </r>
  </si>
  <si>
    <t>B段</t>
  </si>
  <si>
    <t>热力合计（GJ）</t>
  </si>
  <si>
    <t>2024年余热机组外供量</t>
  </si>
  <si>
    <t>360余热供暖（冬季供暖）</t>
  </si>
  <si>
    <t>二、供汽量</t>
  </si>
  <si>
    <t>2025年50MW机组外供量</t>
  </si>
  <si>
    <t>13月</t>
  </si>
  <si>
    <t>2025年余热机组外供量</t>
  </si>
  <si>
    <t>岚山供汽B段（450余热供）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</si>
</sst>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);[Red]\(0.0000\)"/>
    <numFmt numFmtId="177" formatCode="0.00_ "/>
    <numFmt numFmtId="178" formatCode="0.0_ "/>
    <numFmt numFmtId="179" formatCode="0.0000_ "/>
  </numFmts>
  <fonts count="32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1"/>
      <color rgb="FF000000"/>
      <name val="宋体"/>
      <charset val="134"/>
    </font>
    <font>
      <sz val="12"/>
      <color rgb="FF000000"/>
      <name val="仿宋"/>
      <charset val="134"/>
    </font>
    <font>
      <b/>
      <sz val="12"/>
      <color rgb="FF000000"/>
      <name val="仿宋"/>
      <charset val="134"/>
    </font>
    <font>
      <sz val="12"/>
      <color rgb="FF000000"/>
      <name val="宋体"/>
      <charset val="134"/>
    </font>
    <font>
      <sz val="11"/>
      <color rgb="FF000000"/>
      <name val="等线"/>
      <charset val="134"/>
    </font>
    <font>
      <sz val="2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5C6EA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18" applyNumberFormat="0" applyAlignment="0" applyProtection="0">
      <alignment vertical="center"/>
    </xf>
    <xf numFmtId="0" fontId="21" fillId="8" borderId="19" applyNumberFormat="0" applyAlignment="0" applyProtection="0">
      <alignment vertical="center"/>
    </xf>
    <xf numFmtId="0" fontId="22" fillId="8" borderId="18" applyNumberFormat="0" applyAlignment="0" applyProtection="0">
      <alignment vertical="center"/>
    </xf>
    <xf numFmtId="0" fontId="23" fillId="9" borderId="20" applyNumberFormat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76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>
      <alignment vertical="center"/>
    </xf>
    <xf numFmtId="2" fontId="3" fillId="2" borderId="2" xfId="0" applyNumberFormat="1" applyFont="1" applyFill="1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3" borderId="2" xfId="0" applyFont="1" applyFill="1" applyBorder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" fontId="3" fillId="4" borderId="2" xfId="0" applyNumberFormat="1" applyFont="1" applyFill="1" applyBorder="1">
      <alignment vertical="center"/>
    </xf>
    <xf numFmtId="1" fontId="3" fillId="4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>
      <alignment vertical="center"/>
    </xf>
    <xf numFmtId="2" fontId="3" fillId="4" borderId="2" xfId="0" applyNumberFormat="1" applyFont="1" applyFill="1" applyBorder="1">
      <alignment vertical="center"/>
    </xf>
    <xf numFmtId="0" fontId="5" fillId="0" borderId="3" xfId="0" applyFont="1" applyBorder="1" applyAlignment="1">
      <alignment horizontal="left" vertical="center"/>
    </xf>
    <xf numFmtId="0" fontId="6" fillId="0" borderId="0" xfId="0" applyFont="1">
      <alignment vertical="center"/>
    </xf>
    <xf numFmtId="1" fontId="6" fillId="4" borderId="2" xfId="0" applyNumberFormat="1" applyFont="1" applyFill="1" applyBorder="1">
      <alignment vertical="center"/>
    </xf>
    <xf numFmtId="1" fontId="6" fillId="4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>
      <alignment vertical="center"/>
    </xf>
    <xf numFmtId="0" fontId="7" fillId="2" borderId="2" xfId="0" applyFont="1" applyFill="1" applyBorder="1">
      <alignment vertical="center"/>
    </xf>
    <xf numFmtId="2" fontId="6" fillId="2" borderId="2" xfId="0" applyNumberFormat="1" applyFont="1" applyFill="1" applyBorder="1">
      <alignment vertical="center"/>
    </xf>
    <xf numFmtId="0" fontId="6" fillId="3" borderId="2" xfId="0" applyFont="1" applyFill="1" applyBorder="1">
      <alignment vertical="center"/>
    </xf>
    <xf numFmtId="0" fontId="6" fillId="3" borderId="2" xfId="0" applyFont="1" applyFill="1" applyBorder="1" applyAlignment="1">
      <alignment horizontal="center" vertical="center"/>
    </xf>
    <xf numFmtId="0" fontId="7" fillId="3" borderId="2" xfId="0" applyFont="1" applyFill="1" applyBorder="1">
      <alignment vertical="center"/>
    </xf>
    <xf numFmtId="2" fontId="6" fillId="4" borderId="2" xfId="0" applyNumberFormat="1" applyFont="1" applyFill="1" applyBorder="1">
      <alignment vertical="center"/>
    </xf>
    <xf numFmtId="0" fontId="4" fillId="4" borderId="0" xfId="0" applyFont="1" applyFill="1" applyAlignment="1">
      <alignment horizontal="center" vertical="center"/>
    </xf>
    <xf numFmtId="1" fontId="6" fillId="4" borderId="0" xfId="0" applyNumberFormat="1" applyFont="1" applyFill="1">
      <alignment vertical="center"/>
    </xf>
    <xf numFmtId="1" fontId="6" fillId="4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5" borderId="1" xfId="0" applyFill="1" applyBorder="1" applyAlignment="1">
      <alignment horizontal="center" vertical="center"/>
    </xf>
    <xf numFmtId="177" fontId="0" fillId="5" borderId="1" xfId="0" applyNumberForma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8" fontId="0" fillId="0" borderId="6" xfId="0" applyNumberFormat="1" applyFill="1" applyBorder="1" applyAlignment="1">
      <alignment horizontal="center" vertical="center"/>
    </xf>
    <xf numFmtId="178" fontId="0" fillId="0" borderId="5" xfId="0" applyNumberFormat="1" applyFill="1" applyBorder="1" applyAlignment="1">
      <alignment horizontal="center" vertical="center"/>
    </xf>
    <xf numFmtId="179" fontId="0" fillId="5" borderId="1" xfId="0" applyNumberForma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0" borderId="12" xfId="0" applyNumberFormat="1" applyFill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178" fontId="0" fillId="2" borderId="1" xfId="0" applyNumberFormat="1" applyFill="1" applyBorder="1" applyAlignment="1">
      <alignment horizontal="center" vertical="center"/>
    </xf>
    <xf numFmtId="179" fontId="0" fillId="0" borderId="13" xfId="0" applyNumberFormat="1" applyBorder="1" applyAlignment="1">
      <alignment horizontal="center" vertical="center"/>
    </xf>
    <xf numFmtId="0" fontId="10" fillId="2" borderId="1" xfId="0" applyFont="1" applyFill="1" applyBorder="1">
      <alignment vertical="center"/>
    </xf>
    <xf numFmtId="179" fontId="0" fillId="2" borderId="1" xfId="0" applyNumberFormat="1" applyFill="1" applyBorder="1" applyAlignment="1">
      <alignment horizontal="center" vertical="center"/>
    </xf>
    <xf numFmtId="9" fontId="0" fillId="0" borderId="1" xfId="0" applyNumberFormat="1" applyFill="1" applyBorder="1" applyAlignment="1">
      <alignment horizontal="center" vertical="center"/>
    </xf>
    <xf numFmtId="179" fontId="0" fillId="0" borderId="14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78" fontId="0" fillId="0" borderId="1" xfId="0" applyNumberFormat="1" applyBorder="1" applyAlignment="1">
      <alignment horizontal="center" vertical="center"/>
    </xf>
    <xf numFmtId="179" fontId="0" fillId="0" borderId="7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0" borderId="5" xfId="0" applyBorder="1" applyAlignment="1">
      <alignment vertical="center"/>
    </xf>
    <xf numFmtId="9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78" fontId="10" fillId="3" borderId="1" xfId="0" applyNumberFormat="1" applyFont="1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NumberFormat="1" applyFill="1" applyBorder="1" applyAlignment="1">
      <alignment horizontal="center" vertical="center"/>
    </xf>
    <xf numFmtId="179" fontId="10" fillId="3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3" xfId="0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0" borderId="7" xfId="0" applyBorder="1" applyAlignment="1">
      <alignment horizontal="center" vertical="center" wrapText="1"/>
    </xf>
    <xf numFmtId="0" fontId="0" fillId="0" borderId="7" xfId="0" applyBorder="1">
      <alignment vertical="center"/>
    </xf>
    <xf numFmtId="0" fontId="0" fillId="2" borderId="1" xfId="0" applyFill="1" applyBorder="1" applyAlignment="1" quotePrefix="1">
      <alignment horizontal="center" vertical="center"/>
    </xf>
    <xf numFmtId="0" fontId="10" fillId="2" borderId="1" xfId="0" applyFont="1" applyFill="1" applyBorder="1" quotePrefix="1">
      <alignment vertical="center"/>
    </xf>
    <xf numFmtId="0" fontId="0" fillId="0" borderId="1" xfId="0" applyBorder="1" applyAlignment="1" quotePrefix="1">
      <alignment horizontal="center" vertical="center"/>
    </xf>
    <xf numFmtId="0" fontId="10" fillId="0" borderId="1" xfId="0" applyFont="1" applyBorder="1" applyAlignment="1" quotePrefix="1">
      <alignment horizontal="center" vertical="center"/>
    </xf>
    <xf numFmtId="0" fontId="11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15</xdr:col>
      <xdr:colOff>143510</xdr:colOff>
      <xdr:row>39</xdr:row>
      <xdr:rowOff>4445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10553700" cy="66903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154"/>
  <sheetViews>
    <sheetView topLeftCell="A50" workbookViewId="0">
      <selection activeCell="I46" sqref="I46:I49"/>
    </sheetView>
  </sheetViews>
  <sheetFormatPr defaultColWidth="8.89166666666667" defaultRowHeight="13.5"/>
  <cols>
    <col min="2" max="5" width="9.375"/>
    <col min="6" max="16" width="12.625"/>
    <col min="17" max="22" width="8.89166666666667" hidden="1" customWidth="1"/>
    <col min="23" max="23" width="10.375"/>
    <col min="24" max="24" width="12.625"/>
    <col min="28" max="28" width="12.625"/>
    <col min="29" max="29" width="9.375"/>
    <col min="30" max="30" width="12.625"/>
    <col min="31" max="31" width="9.375"/>
    <col min="32" max="32" width="11.5"/>
    <col min="33" max="33" width="9.375"/>
    <col min="34" max="34" width="12.625"/>
    <col min="35" max="35" width="9.375"/>
    <col min="36" max="36" width="12.625"/>
    <col min="37" max="37" width="9.375"/>
    <col min="44" max="44" width="12.625"/>
    <col min="45" max="45" width="9.375"/>
    <col min="46" max="46" width="12.625"/>
    <col min="47" max="47" width="9.375"/>
    <col min="48" max="48" width="12.625"/>
    <col min="49" max="49" width="9.375"/>
  </cols>
  <sheetData>
    <row r="1" customFormat="1" ht="25.5" spans="1:49">
      <c r="B1" s="36" t="s">
        <v>0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X1" s="36" t="s">
        <v>1</v>
      </c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M1" s="38" t="s">
        <v>2</v>
      </c>
      <c r="AN1" s="38"/>
      <c r="AO1" s="38"/>
      <c r="AP1" s="38"/>
      <c r="AQ1" s="38"/>
      <c r="AR1" s="38"/>
      <c r="AS1" s="38"/>
      <c r="AT1" s="38"/>
      <c r="AU1" s="38"/>
      <c r="AV1" s="38"/>
      <c r="AW1" s="38"/>
    </row>
    <row r="2" customFormat="1" spans="1:49">
      <c r="A2" s="39" t="s">
        <v>3</v>
      </c>
      <c r="B2" s="39"/>
      <c r="C2" s="39"/>
      <c r="D2" s="39" t="s">
        <v>4</v>
      </c>
      <c r="E2" s="39" t="s">
        <v>5</v>
      </c>
      <c r="F2" s="39" t="s">
        <v>6</v>
      </c>
      <c r="G2" s="39"/>
      <c r="H2" s="39" t="s">
        <v>7</v>
      </c>
      <c r="I2" s="39"/>
      <c r="J2" s="39" t="s">
        <v>8</v>
      </c>
      <c r="K2" s="39"/>
      <c r="L2" s="39" t="s">
        <v>9</v>
      </c>
      <c r="M2" s="39"/>
      <c r="N2" s="39" t="s">
        <v>10</v>
      </c>
      <c r="O2" s="39"/>
      <c r="W2" s="39" t="s">
        <v>3</v>
      </c>
      <c r="X2" s="39"/>
      <c r="Y2" s="39"/>
      <c r="Z2" s="39" t="s">
        <v>4</v>
      </c>
      <c r="AA2" s="39" t="s">
        <v>5</v>
      </c>
      <c r="AB2" s="39" t="s">
        <v>10</v>
      </c>
      <c r="AC2" s="39"/>
      <c r="AD2" s="39" t="s">
        <v>11</v>
      </c>
      <c r="AE2" s="39"/>
      <c r="AF2" s="39" t="s">
        <v>12</v>
      </c>
      <c r="AG2" s="39"/>
      <c r="AH2" s="39" t="s">
        <v>13</v>
      </c>
      <c r="AI2" s="39"/>
      <c r="AJ2" s="39" t="s">
        <v>14</v>
      </c>
      <c r="AK2" s="39"/>
      <c r="AM2" s="39" t="s">
        <v>3</v>
      </c>
      <c r="AN2" s="39"/>
      <c r="AO2" s="39"/>
      <c r="AP2" s="39" t="s">
        <v>4</v>
      </c>
      <c r="AQ2" s="39" t="s">
        <v>5</v>
      </c>
      <c r="AR2" s="40" t="s">
        <v>15</v>
      </c>
      <c r="AS2" s="41"/>
      <c r="AT2" s="42" t="s">
        <v>16</v>
      </c>
      <c r="AU2" s="41"/>
      <c r="AV2" s="42" t="s">
        <v>17</v>
      </c>
      <c r="AW2" s="41"/>
    </row>
    <row r="3" customFormat="1" spans="1:49">
      <c r="A3" s="39"/>
      <c r="B3" s="39"/>
      <c r="C3" s="39"/>
      <c r="D3" s="39"/>
      <c r="E3" s="39"/>
      <c r="F3" s="43" t="s">
        <v>18</v>
      </c>
      <c r="G3" s="43" t="s">
        <v>19</v>
      </c>
      <c r="H3" s="43" t="s">
        <v>18</v>
      </c>
      <c r="I3" s="43" t="s">
        <v>19</v>
      </c>
      <c r="J3" s="43" t="s">
        <v>18</v>
      </c>
      <c r="K3" s="43" t="s">
        <v>19</v>
      </c>
      <c r="L3" s="43" t="s">
        <v>18</v>
      </c>
      <c r="M3" s="43" t="s">
        <v>19</v>
      </c>
      <c r="N3" s="43" t="s">
        <v>18</v>
      </c>
      <c r="O3" s="43" t="s">
        <v>19</v>
      </c>
      <c r="W3" s="39"/>
      <c r="X3" s="39"/>
      <c r="Y3" s="39"/>
      <c r="Z3" s="39"/>
      <c r="AA3" s="39"/>
      <c r="AB3" s="43" t="s">
        <v>18</v>
      </c>
      <c r="AC3" s="43" t="s">
        <v>19</v>
      </c>
      <c r="AD3" s="43" t="s">
        <v>18</v>
      </c>
      <c r="AE3" s="43" t="s">
        <v>19</v>
      </c>
      <c r="AF3" s="43" t="s">
        <v>18</v>
      </c>
      <c r="AG3" s="43" t="s">
        <v>19</v>
      </c>
      <c r="AH3" s="43" t="s">
        <v>18</v>
      </c>
      <c r="AI3" s="43" t="s">
        <v>19</v>
      </c>
      <c r="AJ3" s="43" t="s">
        <v>18</v>
      </c>
      <c r="AK3" s="43" t="s">
        <v>19</v>
      </c>
      <c r="AM3" s="39"/>
      <c r="AN3" s="39"/>
      <c r="AO3" s="39"/>
      <c r="AP3" s="39"/>
      <c r="AQ3" s="39"/>
      <c r="AR3" s="43" t="s">
        <v>18</v>
      </c>
      <c r="AS3" s="43" t="s">
        <v>19</v>
      </c>
      <c r="AT3" s="43" t="s">
        <v>18</v>
      </c>
      <c r="AU3" s="43" t="s">
        <v>19</v>
      </c>
      <c r="AV3" s="43" t="s">
        <v>18</v>
      </c>
      <c r="AW3" s="43" t="s">
        <v>19</v>
      </c>
    </row>
    <row r="4" customFormat="1" spans="1:49">
      <c r="A4" s="44" t="s">
        <v>20</v>
      </c>
      <c r="B4" s="44" t="s">
        <v>21</v>
      </c>
      <c r="C4" s="44"/>
      <c r="D4" s="44">
        <v>19</v>
      </c>
      <c r="E4" s="44" t="s">
        <v>22</v>
      </c>
      <c r="F4" s="45">
        <v>6.15</v>
      </c>
      <c r="G4" s="45">
        <f>(F4-D4)/5*2.7/325.13+1</f>
        <v>0.978657767662166</v>
      </c>
      <c r="H4" s="45">
        <v>4.99853571428571</v>
      </c>
      <c r="I4" s="45">
        <f>(H4-D4)/5*2.7/325.13+1</f>
        <v>0.976745330439253</v>
      </c>
      <c r="J4" s="45">
        <v>7.62096774193549</v>
      </c>
      <c r="K4" s="45">
        <f>(J4-D4)/5*2.7/325.13+1</f>
        <v>0.981100859904177</v>
      </c>
      <c r="L4" s="45">
        <v>12.8923333333333</v>
      </c>
      <c r="M4" s="45">
        <f>(L4-D4)/5*2.7/325.13+1</f>
        <v>0.989855934549257</v>
      </c>
      <c r="N4" s="45">
        <v>18.2736451612903</v>
      </c>
      <c r="O4" s="45">
        <f>(N4-D4)/5*7.5/325.13+1</f>
        <v>0.996648933478718</v>
      </c>
      <c r="W4" s="44" t="s">
        <v>20</v>
      </c>
      <c r="X4" s="44" t="s">
        <v>21</v>
      </c>
      <c r="Y4" s="44"/>
      <c r="Z4" s="44">
        <v>19</v>
      </c>
      <c r="AA4" s="44" t="s">
        <v>22</v>
      </c>
      <c r="AB4" s="45">
        <v>18.2736451612903</v>
      </c>
      <c r="AC4" s="45">
        <f>(AB4-Z4)/5*7.5/325.13+1</f>
        <v>0.996648933478718</v>
      </c>
      <c r="AD4" s="45">
        <v>23.1218</v>
      </c>
      <c r="AE4" s="45">
        <f>(AD4-Z4)/5*7.5/325.13+1</f>
        <v>1.01901608587334</v>
      </c>
      <c r="AF4" s="45">
        <v>28.1445161290323</v>
      </c>
      <c r="AG4" s="45">
        <f>(AF4-Z4)/5*7.5/325.13+1</f>
        <v>1.04218858362362</v>
      </c>
      <c r="AH4" s="45">
        <v>30.3582258064516</v>
      </c>
      <c r="AI4" s="45">
        <f>(AH4-Z4)/5*7.5/325.13+1</f>
        <v>1.05240161999716</v>
      </c>
      <c r="AJ4" s="45">
        <v>27.1458333333333</v>
      </c>
      <c r="AK4" s="45">
        <f>(AJ4-Z4)/5*2.7/325.13+1</f>
        <v>1.01352920370313</v>
      </c>
      <c r="AM4" s="46" t="s">
        <v>20</v>
      </c>
      <c r="AN4" s="47" t="s">
        <v>21</v>
      </c>
      <c r="AO4" s="46"/>
      <c r="AP4" s="39">
        <v>15</v>
      </c>
      <c r="AQ4" s="39" t="s">
        <v>22</v>
      </c>
      <c r="AR4" s="48">
        <v>21.8</v>
      </c>
      <c r="AS4" s="45">
        <f>(AR4-AP4)/5*7.5/325.13+0.975</f>
        <v>1.00637206655799</v>
      </c>
      <c r="AT4" s="48">
        <v>17</v>
      </c>
      <c r="AU4" s="45">
        <f>(AT4-AP4)/5*7.5/325.13+1</f>
        <v>1.00922707839941</v>
      </c>
      <c r="AV4" s="48">
        <v>9.97</v>
      </c>
      <c r="AW4" s="48">
        <f>(AV4-AP4)/5*2.7/325.13+1</f>
        <v>0.991645803217175</v>
      </c>
    </row>
    <row r="5" customFormat="1" spans="1:49">
      <c r="A5" s="44"/>
      <c r="B5" s="44" t="s">
        <v>23</v>
      </c>
      <c r="C5" s="44"/>
      <c r="D5" s="44">
        <v>25</v>
      </c>
      <c r="E5" s="44" t="s">
        <v>22</v>
      </c>
      <c r="F5" s="44">
        <v>15</v>
      </c>
      <c r="G5" s="44">
        <f>1+0.002*(F5-D5)</f>
        <v>0.98</v>
      </c>
      <c r="H5" s="44">
        <v>15</v>
      </c>
      <c r="I5" s="44">
        <f>1+0.002*(H5-D5)</f>
        <v>0.98</v>
      </c>
      <c r="J5" s="44">
        <v>15</v>
      </c>
      <c r="K5" s="44">
        <f>1+0.002*(J5-D5)</f>
        <v>0.98</v>
      </c>
      <c r="L5" s="44">
        <v>15</v>
      </c>
      <c r="M5" s="44">
        <f>1+0.002*(L5-D5)</f>
        <v>0.98</v>
      </c>
      <c r="N5" s="44">
        <v>20</v>
      </c>
      <c r="O5" s="44">
        <f>1+0.002*(N5-D5)</f>
        <v>0.99</v>
      </c>
      <c r="W5" s="44"/>
      <c r="X5" s="44" t="s">
        <v>23</v>
      </c>
      <c r="Y5" s="44"/>
      <c r="Z5" s="44">
        <v>25</v>
      </c>
      <c r="AA5" s="44" t="s">
        <v>22</v>
      </c>
      <c r="AB5" s="44">
        <v>20</v>
      </c>
      <c r="AC5" s="44">
        <f>1+0.002*(AB5-Z5)</f>
        <v>0.99</v>
      </c>
      <c r="AD5" s="44">
        <v>24.5</v>
      </c>
      <c r="AE5" s="44">
        <f>1+0.002*(AD5-Z5)</f>
        <v>0.999</v>
      </c>
      <c r="AF5" s="44">
        <v>28</v>
      </c>
      <c r="AG5" s="44">
        <f>1+0.002*(AF5-Z5)</f>
        <v>1.006</v>
      </c>
      <c r="AH5" s="44">
        <v>28.5</v>
      </c>
      <c r="AI5" s="44">
        <f>1+0.002*(AH5-Z5)</f>
        <v>1.007</v>
      </c>
      <c r="AJ5" s="44">
        <v>25</v>
      </c>
      <c r="AK5" s="44">
        <f>1+0.002*(AJ5-Z5)</f>
        <v>1</v>
      </c>
      <c r="AM5" s="39"/>
      <c r="AN5" s="41" t="s">
        <v>23</v>
      </c>
      <c r="AO5" s="39"/>
      <c r="AP5" s="39">
        <v>25</v>
      </c>
      <c r="AQ5" s="39" t="s">
        <v>22</v>
      </c>
      <c r="AR5" s="39">
        <v>21.71</v>
      </c>
      <c r="AS5" s="39">
        <f>1+0.002*(AR5-AP5)</f>
        <v>0.99342</v>
      </c>
      <c r="AT5" s="39">
        <v>16.76</v>
      </c>
      <c r="AU5" s="39">
        <f>1+0.002*(AT5-AP5)</f>
        <v>0.98352</v>
      </c>
      <c r="AV5" s="39">
        <v>15</v>
      </c>
      <c r="AW5" s="39">
        <f>1+0.002*(AV5-AP5)</f>
        <v>0.98</v>
      </c>
    </row>
    <row r="6" customFormat="1" spans="1:49">
      <c r="A6" s="44"/>
      <c r="B6" s="44" t="s">
        <v>24</v>
      </c>
      <c r="C6" s="44" t="s">
        <v>25</v>
      </c>
      <c r="D6" s="44">
        <v>4854</v>
      </c>
      <c r="E6" s="44" t="s">
        <v>26</v>
      </c>
      <c r="F6" s="49">
        <v>5133.87173062674</v>
      </c>
      <c r="G6" s="49"/>
      <c r="H6" s="49">
        <v>5122.47938377856</v>
      </c>
      <c r="I6" s="49"/>
      <c r="J6" s="49">
        <v>5087.61042677892</v>
      </c>
      <c r="K6" s="49"/>
      <c r="L6" s="49">
        <v>5125.10071132122</v>
      </c>
      <c r="M6" s="49"/>
      <c r="N6" s="49">
        <v>5389.50130469822</v>
      </c>
      <c r="O6" s="49"/>
      <c r="W6" s="44"/>
      <c r="X6" s="44" t="s">
        <v>24</v>
      </c>
      <c r="Y6" s="44" t="s">
        <v>25</v>
      </c>
      <c r="Z6" s="44">
        <v>4854</v>
      </c>
      <c r="AA6" s="44" t="s">
        <v>26</v>
      </c>
      <c r="AB6" s="49">
        <v>5389.50130469822</v>
      </c>
      <c r="AC6" s="49"/>
      <c r="AD6" s="49">
        <v>5215.54600062505</v>
      </c>
      <c r="AE6" s="49"/>
      <c r="AF6" s="49">
        <v>5166.74119266594</v>
      </c>
      <c r="AG6" s="49"/>
      <c r="AH6" s="49">
        <v>5316.11709657702</v>
      </c>
      <c r="AI6" s="49"/>
      <c r="AJ6" s="49">
        <v>5220.51072470538</v>
      </c>
      <c r="AK6" s="49"/>
      <c r="AM6" s="39"/>
      <c r="AN6" s="50" t="s">
        <v>24</v>
      </c>
      <c r="AO6" s="39" t="s">
        <v>25</v>
      </c>
      <c r="AP6" s="39">
        <v>4854</v>
      </c>
      <c r="AQ6" s="39" t="s">
        <v>26</v>
      </c>
      <c r="AR6" s="51">
        <v>5075</v>
      </c>
      <c r="AS6" s="52"/>
      <c r="AT6" s="51">
        <v>5075</v>
      </c>
      <c r="AU6" s="52"/>
      <c r="AV6" s="51">
        <v>5075</v>
      </c>
      <c r="AW6" s="52"/>
    </row>
    <row r="7" customFormat="1" spans="1:49">
      <c r="A7" s="44"/>
      <c r="B7" s="44"/>
      <c r="C7" s="44" t="s">
        <v>27</v>
      </c>
      <c r="D7" s="44">
        <v>8.6</v>
      </c>
      <c r="E7" s="44" t="s">
        <v>28</v>
      </c>
      <c r="F7" s="45">
        <v>11.9967741935484</v>
      </c>
      <c r="G7" s="53">
        <f>1+2.3*(F7-D7)/F6</f>
        <v>1.00152177168716</v>
      </c>
      <c r="H7" s="45">
        <v>12.7035714285714</v>
      </c>
      <c r="I7" s="53">
        <f>1+2.3*(H7-D7)/H6</f>
        <v>1.00184250898415</v>
      </c>
      <c r="J7" s="45">
        <v>13.6612903225806</v>
      </c>
      <c r="K7" s="53">
        <f>1+2.3*(J7-D7)/J6</f>
        <v>1.0022881012431</v>
      </c>
      <c r="L7" s="45">
        <v>12.68</v>
      </c>
      <c r="M7" s="53">
        <f>1+2.3*(L7-D7)/L6</f>
        <v>1.00183098840951</v>
      </c>
      <c r="N7" s="45">
        <v>11.4354838709677</v>
      </c>
      <c r="O7" s="53">
        <f>1+2.3*(N7-D7)/N6</f>
        <v>1.00121005869273</v>
      </c>
      <c r="W7" s="44"/>
      <c r="X7" s="44"/>
      <c r="Y7" s="44" t="s">
        <v>27</v>
      </c>
      <c r="Z7" s="44">
        <v>8.6</v>
      </c>
      <c r="AA7" s="44" t="s">
        <v>28</v>
      </c>
      <c r="AB7" s="45">
        <v>11.4354838709677</v>
      </c>
      <c r="AC7" s="53">
        <f>1+2.3*(AB7-Z7)/AB6</f>
        <v>1.00121005869273</v>
      </c>
      <c r="AD7" s="45">
        <v>11.5733333333333</v>
      </c>
      <c r="AE7" s="53">
        <f>1+2.3*(AD7-Z7)/AD6</f>
        <v>1.00131120819677</v>
      </c>
      <c r="AF7" s="45">
        <v>12.658064516129</v>
      </c>
      <c r="AG7" s="53">
        <f>1+2.3*(AF7-Z7)/AF6</f>
        <v>1.00180646717903</v>
      </c>
      <c r="AH7" s="45">
        <v>13.2064516129032</v>
      </c>
      <c r="AI7" s="53">
        <f>1+2.3*(AH7-Z7)/AH6</f>
        <v>1.00199296563962</v>
      </c>
      <c r="AJ7" s="45">
        <v>14.016</v>
      </c>
      <c r="AK7" s="53">
        <f>1+2.3*(AJ7-Z7)/AJ6</f>
        <v>1.00238612669466</v>
      </c>
      <c r="AM7" s="39"/>
      <c r="AN7" s="54"/>
      <c r="AO7" s="39" t="s">
        <v>27</v>
      </c>
      <c r="AP7" s="39">
        <v>8.6</v>
      </c>
      <c r="AQ7" s="39" t="s">
        <v>28</v>
      </c>
      <c r="AR7" s="55">
        <v>13.07</v>
      </c>
      <c r="AS7" s="56">
        <f>1+2.3*(AR7-AP7)/AR6</f>
        <v>1.00202581280788</v>
      </c>
      <c r="AT7" s="55">
        <v>13.07</v>
      </c>
      <c r="AU7" s="56">
        <f>1+2.3*(AT7-AP7)/AT6</f>
        <v>1.00202581280788</v>
      </c>
      <c r="AV7" s="55">
        <v>13.07</v>
      </c>
      <c r="AW7" s="56">
        <f>1+2.3*(AV7-AP7)/AV6</f>
        <v>1.00202581280788</v>
      </c>
    </row>
    <row r="8" customFormat="1" spans="1:49">
      <c r="A8" s="44"/>
      <c r="B8" s="44"/>
      <c r="C8" s="44" t="s">
        <v>29</v>
      </c>
      <c r="D8" s="39">
        <f t="shared" ref="D8:H8" si="0">28.54-(D6-4854)/37.694</f>
        <v>28.54</v>
      </c>
      <c r="E8" s="53">
        <f t="shared" ref="E8:I8" si="1">1+0.0001*(D8-B8)</f>
        <v>1.002854</v>
      </c>
      <c r="F8" s="39">
        <f t="shared" si="0"/>
        <v>21.1151649963724</v>
      </c>
      <c r="G8" s="53">
        <f t="shared" si="1"/>
        <v>0.999257516499637</v>
      </c>
      <c r="H8" s="39">
        <f t="shared" si="0"/>
        <v>21.4173973635443</v>
      </c>
      <c r="I8" s="53">
        <f t="shared" si="1"/>
        <v>1.00003022323672</v>
      </c>
      <c r="J8" s="39">
        <f t="shared" ref="J8:N8" si="2">28.54-(J6-4854)/37.694</f>
        <v>22.342450608083</v>
      </c>
      <c r="K8" s="53">
        <f t="shared" ref="K8:O8" si="3">1+0.0001*(J8-H8)</f>
        <v>1.00009250532445</v>
      </c>
      <c r="L8" s="39">
        <f t="shared" si="2"/>
        <v>21.3478550612506</v>
      </c>
      <c r="M8" s="53">
        <f t="shared" si="3"/>
        <v>0.999900540445317</v>
      </c>
      <c r="N8" s="39">
        <f t="shared" si="2"/>
        <v>14.3334603730509</v>
      </c>
      <c r="O8" s="53">
        <f t="shared" si="3"/>
        <v>0.99929856053118</v>
      </c>
      <c r="W8" s="44"/>
      <c r="X8" s="44"/>
      <c r="Y8" s="44" t="s">
        <v>29</v>
      </c>
      <c r="Z8" s="44">
        <v>28.54</v>
      </c>
      <c r="AA8" s="44" t="s">
        <v>28</v>
      </c>
      <c r="AB8" s="39">
        <f t="shared" ref="AB8:AF8" si="4">28.54-(AB6-4854)/37.694</f>
        <v>14.3334603730509</v>
      </c>
      <c r="AC8" s="53">
        <f t="shared" ref="AC8:AG8" si="5">1+0.0001*(AB8-Z8)</f>
        <v>0.998579346037305</v>
      </c>
      <c r="AD8" s="39">
        <f t="shared" si="4"/>
        <v>18.9483938922627</v>
      </c>
      <c r="AE8" s="53">
        <f t="shared" si="5"/>
        <v>1.00046149335192</v>
      </c>
      <c r="AF8" s="39">
        <f t="shared" si="4"/>
        <v>20.2431571956826</v>
      </c>
      <c r="AG8" s="53">
        <f t="shared" si="5"/>
        <v>1.00012947633034</v>
      </c>
      <c r="AH8" s="39">
        <f>28.54-(AH6-4854)/37.694</f>
        <v>16.2803009344453</v>
      </c>
      <c r="AI8" s="53">
        <f>1+0.0001*(AH8-AF8)</f>
        <v>0.999603714373876</v>
      </c>
      <c r="AJ8" s="39">
        <f>28.54-(AJ6-4854)/37.694</f>
        <v>18.8166826363511</v>
      </c>
      <c r="AK8" s="53">
        <f>1+0.0001*(AJ8-AH8)</f>
        <v>1.00025363817019</v>
      </c>
      <c r="AM8" s="39"/>
      <c r="AN8" s="54"/>
      <c r="AO8" s="39" t="s">
        <v>29</v>
      </c>
      <c r="AP8" s="39">
        <v>28.54</v>
      </c>
      <c r="AQ8" s="39" t="s">
        <v>28</v>
      </c>
      <c r="AR8" s="39">
        <f t="shared" ref="AR8:AV8" si="6">28.54-(AR6-4854)/37.694</f>
        <v>22.6769979307052</v>
      </c>
      <c r="AS8" s="53">
        <f t="shared" ref="AS8:AW8" si="7">1+0.0001*(AR8-AP8)</f>
        <v>0.99941369979307</v>
      </c>
      <c r="AT8" s="39">
        <f t="shared" si="6"/>
        <v>22.6769979307052</v>
      </c>
      <c r="AU8" s="53">
        <f t="shared" si="7"/>
        <v>1</v>
      </c>
      <c r="AV8" s="39">
        <f t="shared" si="6"/>
        <v>22.6769979307052</v>
      </c>
      <c r="AW8" s="53">
        <f t="shared" si="7"/>
        <v>1</v>
      </c>
    </row>
    <row r="9" customFormat="1" spans="1:49">
      <c r="A9" s="57" t="s">
        <v>30</v>
      </c>
      <c r="B9" s="57" t="s">
        <v>31</v>
      </c>
      <c r="C9" s="57"/>
      <c r="D9" s="57" t="s">
        <v>32</v>
      </c>
      <c r="E9" s="57"/>
      <c r="F9" s="57">
        <v>11839.08</v>
      </c>
      <c r="G9" s="57"/>
      <c r="H9" s="57">
        <v>9740.28</v>
      </c>
      <c r="I9" s="57"/>
      <c r="J9" s="57">
        <v>0</v>
      </c>
      <c r="K9" s="57"/>
      <c r="L9" s="57">
        <v>24.42</v>
      </c>
      <c r="M9" s="57"/>
      <c r="N9" s="95" t="s">
        <v>33</v>
      </c>
      <c r="O9" s="57"/>
      <c r="W9" s="57" t="s">
        <v>30</v>
      </c>
      <c r="X9" s="57" t="s">
        <v>31</v>
      </c>
      <c r="Y9" s="57"/>
      <c r="Z9" s="57" t="s">
        <v>32</v>
      </c>
      <c r="AA9" s="57"/>
      <c r="AB9" s="95" t="s">
        <v>33</v>
      </c>
      <c r="AC9" s="57"/>
      <c r="AD9" s="57">
        <v>21586.62</v>
      </c>
      <c r="AE9" s="57"/>
      <c r="AF9" s="57">
        <v>19537.98</v>
      </c>
      <c r="AG9" s="57"/>
      <c r="AH9" s="95" t="s">
        <v>34</v>
      </c>
      <c r="AI9" s="57"/>
      <c r="AJ9" s="57">
        <v>20240.22</v>
      </c>
      <c r="AK9" s="57"/>
      <c r="AM9" s="39" t="s">
        <v>30</v>
      </c>
      <c r="AN9" s="39" t="s">
        <v>31</v>
      </c>
      <c r="AO9" s="39"/>
      <c r="AP9" s="39" t="s">
        <v>32</v>
      </c>
      <c r="AQ9" s="39"/>
      <c r="AR9" s="39">
        <f>36018.528/2</f>
        <v>18009.264</v>
      </c>
      <c r="AS9" s="39"/>
      <c r="AT9" s="39">
        <f>29486.88/50*20</f>
        <v>11794.752</v>
      </c>
      <c r="AU9" s="39"/>
      <c r="AV9" s="39">
        <f>35325.864/2</f>
        <v>17662.932</v>
      </c>
      <c r="AW9" s="39"/>
    </row>
    <row r="10" customFormat="1" spans="1:49">
      <c r="A10" s="57"/>
      <c r="B10" s="57" t="s">
        <v>35</v>
      </c>
      <c r="C10" s="57"/>
      <c r="D10" s="57" t="s">
        <v>36</v>
      </c>
      <c r="E10" s="57"/>
      <c r="F10" s="58">
        <f t="shared" ref="F10:J10" si="8">G10/24</f>
        <v>25.16</v>
      </c>
      <c r="G10" s="58">
        <v>603.84</v>
      </c>
      <c r="H10" s="58">
        <f t="shared" si="8"/>
        <v>18.6875</v>
      </c>
      <c r="I10" s="58">
        <v>448.5</v>
      </c>
      <c r="J10" s="58">
        <f t="shared" si="8"/>
        <v>0</v>
      </c>
      <c r="K10" s="58">
        <v>0</v>
      </c>
      <c r="L10" s="58">
        <f>M10/24</f>
        <v>0.1775</v>
      </c>
      <c r="M10" s="58">
        <v>4.26</v>
      </c>
      <c r="N10" s="58">
        <f>O10/24</f>
        <v>31</v>
      </c>
      <c r="O10" s="58">
        <v>744</v>
      </c>
      <c r="W10" s="57"/>
      <c r="X10" s="57" t="s">
        <v>35</v>
      </c>
      <c r="Y10" s="57"/>
      <c r="Z10" s="57" t="s">
        <v>36</v>
      </c>
      <c r="AA10" s="57"/>
      <c r="AB10" s="58">
        <f t="shared" ref="AB10:AF10" si="9">AC10/24</f>
        <v>31</v>
      </c>
      <c r="AC10" s="58">
        <v>744</v>
      </c>
      <c r="AD10" s="58">
        <f t="shared" si="9"/>
        <v>30</v>
      </c>
      <c r="AE10" s="58">
        <v>720</v>
      </c>
      <c r="AF10" s="58">
        <f t="shared" si="9"/>
        <v>31</v>
      </c>
      <c r="AG10" s="58">
        <v>744</v>
      </c>
      <c r="AH10" s="58">
        <f>AI10/24</f>
        <v>31</v>
      </c>
      <c r="AI10" s="58">
        <v>744</v>
      </c>
      <c r="AJ10" s="58">
        <f>AK10/24</f>
        <v>30</v>
      </c>
      <c r="AK10" s="58">
        <v>720</v>
      </c>
      <c r="AM10" s="39"/>
      <c r="AN10" s="59" t="s">
        <v>35</v>
      </c>
      <c r="AO10" s="47"/>
      <c r="AP10" s="60" t="s">
        <v>36</v>
      </c>
      <c r="AQ10" s="47"/>
      <c r="AR10" s="60">
        <v>31</v>
      </c>
      <c r="AS10" s="47"/>
      <c r="AT10" s="60">
        <v>20</v>
      </c>
      <c r="AU10" s="47"/>
      <c r="AV10" s="60">
        <v>31</v>
      </c>
      <c r="AW10" s="47"/>
    </row>
    <row r="11" customFormat="1" spans="1:49">
      <c r="A11" s="57"/>
      <c r="B11" s="57" t="s">
        <v>37</v>
      </c>
      <c r="C11" s="57"/>
      <c r="D11" s="61">
        <v>1</v>
      </c>
      <c r="E11" s="57" t="s">
        <v>36</v>
      </c>
      <c r="F11" s="61">
        <f>F9/F10/24/30</f>
        <v>0.653543985161632</v>
      </c>
      <c r="G11" s="62">
        <f t="shared" ref="G11:K11" si="10">7.254-0.633*(1-EXP(-F11*100/29.822))-5.643*(1-EXP(-F11*100/6.871))</f>
        <v>1.04915584256542</v>
      </c>
      <c r="H11" s="61">
        <f>H9/H10/24/30</f>
        <v>0.723915273132665</v>
      </c>
      <c r="I11" s="62">
        <f t="shared" si="10"/>
        <v>1.03401931123519</v>
      </c>
      <c r="J11" s="61">
        <v>0</v>
      </c>
      <c r="K11" s="62">
        <f t="shared" si="10"/>
        <v>7.254</v>
      </c>
      <c r="L11" s="61">
        <f>L9/L10/24/30</f>
        <v>0.191079812206573</v>
      </c>
      <c r="M11" s="62">
        <f>7.254-0.633*(1-EXP(-L11*100/29.822))-5.643*(1-EXP(-L11*100/6.871))</f>
        <v>1.66127819069867</v>
      </c>
      <c r="N11" s="61">
        <f>N9/N10/24/30</f>
        <v>0.958803763440842</v>
      </c>
      <c r="O11" s="62">
        <f>7.254-0.633*(1-EXP(-N11*100/29.822))-5.643*(1-EXP(-N11*100/6.871))</f>
        <v>1.00342098229794</v>
      </c>
      <c r="W11" s="57"/>
      <c r="X11" s="57" t="s">
        <v>37</v>
      </c>
      <c r="Y11" s="57"/>
      <c r="Z11" s="61">
        <v>1</v>
      </c>
      <c r="AA11" s="57" t="s">
        <v>36</v>
      </c>
      <c r="AB11" s="61">
        <f t="shared" ref="AB11:AF11" si="11">AB9/AB10/24/30</f>
        <v>0.958803763440842</v>
      </c>
      <c r="AC11" s="62">
        <f t="shared" ref="AC11:AG11" si="12">7.254-0.633*(1-EXP(-AB11*100/29.822))-5.643*(1-EXP(-AB11*100/6.871))</f>
        <v>1.00342098229794</v>
      </c>
      <c r="AD11" s="61">
        <f t="shared" si="11"/>
        <v>0.999380555555555</v>
      </c>
      <c r="AE11" s="62">
        <f t="shared" si="12"/>
        <v>1.00018554740377</v>
      </c>
      <c r="AF11" s="61">
        <f t="shared" si="11"/>
        <v>0.87535752688172</v>
      </c>
      <c r="AG11" s="62">
        <f t="shared" si="12"/>
        <v>1.01163906285367</v>
      </c>
      <c r="AH11" s="61">
        <f>AH9/AH10/24/30</f>
        <v>0.96122849462366</v>
      </c>
      <c r="AI11" s="62">
        <f>7.254-0.633*(1-EXP(-AH11*100/29.822))-5.643*(1-EXP(-AH11*100/6.871))</f>
        <v>1.00321499990696</v>
      </c>
      <c r="AJ11" s="61">
        <f>AJ9/AJ10/24/30</f>
        <v>0.937047222222222</v>
      </c>
      <c r="AK11" s="62">
        <f>7.254-0.633*(1-EXP(-AJ11*100/29.822))-5.643*(1-EXP(-AJ11*100/6.871))</f>
        <v>1.00534634519328</v>
      </c>
      <c r="AM11" s="39"/>
      <c r="AN11" s="59" t="s">
        <v>38</v>
      </c>
      <c r="AO11" s="47"/>
      <c r="AP11" s="63"/>
      <c r="AQ11" s="39"/>
      <c r="AR11" s="64"/>
      <c r="AS11" s="65"/>
      <c r="AT11" s="64"/>
      <c r="AU11" s="65"/>
      <c r="AV11" s="64"/>
      <c r="AW11" s="65"/>
    </row>
    <row r="12" customFormat="1" spans="1:49">
      <c r="A12" s="57"/>
      <c r="B12" s="57" t="s">
        <v>39</v>
      </c>
      <c r="C12" s="58" t="s">
        <v>40</v>
      </c>
      <c r="D12" s="57">
        <v>0</v>
      </c>
      <c r="E12" s="57" t="s">
        <v>41</v>
      </c>
      <c r="F12" s="66"/>
      <c r="G12" s="67">
        <f>(1-(F14*3.257*F10+F12*F10+F13*3*F10)*38/(F9*D16*10+(F14*3.257*F10+F12*F10+F13*3*F10)*38))*(1+0.256*F12/(F9/F10)/10/3.6+0.383*F13/(F9/F10)/10/3.6+0.383*F14*3.25*F10/F9/10/3.6)</f>
        <v>1</v>
      </c>
      <c r="H12" s="96" t="s">
        <v>42</v>
      </c>
      <c r="I12" s="67">
        <f>(1-(H14*3.257*H10+H12*H10+H13*3*H10)*38/(H9*D16*10+(H14*3.257*H10+H12*H10+H13*3*H10)*38))*(1+0.256*H12/(H9/H10)/10/3.6+0.383*H13/(H9/H10)/10/3.6+0.383*H14*3.25*H10/H9/10/3.6)</f>
        <v>0.982701210835177</v>
      </c>
      <c r="J12" s="66"/>
      <c r="K12" s="67" t="e">
        <f>(1-(J14*3.257*J10+J12*J10+J13*3*J10)*38/(J9*D16*10+(J14*3.257*J10+J12*J10+J13*3*J10)*38))*(1+0.256*J12/(J9/J10)/10/3.6+0.383*J13/(J9/J10)/10/3.6+0.383*J14*3.25*J10/J9/10/3.6)</f>
        <v>#DIV/0!</v>
      </c>
      <c r="L12" s="66">
        <v>0</v>
      </c>
      <c r="M12" s="67">
        <f>(1-(L14*3.257*L10+L12*L10+L13*3*L10)*38/(L9*D16*10+(L14*3.257*L10+L12*L10+L13*3*L10)*38))*(1+0.256*L12/(L9/L10)/10/3.6+0.383*L13/(L9/L10)/10/3.6+0.383*L14*3.25*L10/L9/10/3.6)</f>
        <v>1</v>
      </c>
      <c r="N12" s="66"/>
      <c r="O12" s="67">
        <f>(1-(N14*3.257*N10+N12*N10+N13*3*N10)*38/(N9*D16*10+(N14*3.257*N10+N12*N10+N13*3*N10)*38))*(1+0.256*N12/(N9/N10)/10/3.6+0.383*N13/(N9/N10)/10/3.6+0.383*N14*3.25*N10/N9/10/3.6)</f>
        <v>1</v>
      </c>
      <c r="W12" s="57"/>
      <c r="X12" s="57" t="s">
        <v>39</v>
      </c>
      <c r="Y12" s="58" t="s">
        <v>40</v>
      </c>
      <c r="Z12" s="57">
        <v>0</v>
      </c>
      <c r="AA12" s="57" t="s">
        <v>41</v>
      </c>
      <c r="AB12" s="66"/>
      <c r="AC12" s="69">
        <f>(1-(AB14*3.257*AB10+AB12*AB10+AB13*3*AB10)*38/(AB9*Z16*10+(AB14*3.257*AB10+AB12*AB10+AB13*3*AB10)*38))*(1+0.256*AB12/(AB9/AB10)/10/3.6+0.36*AB13/(AB9/AB10)/10/3.6+0.383*AB14*3.25*AB10/AB9/10/3.6)</f>
        <v>1</v>
      </c>
      <c r="AD12" s="66"/>
      <c r="AE12" s="69">
        <f>(1-(AD14*3.257*AD10+AD12*AD10+AD13*3*AD10)*38/(AD9*Z16*10+(AD14*3.257*AD10+AD12*AD10+AD13*3*AD10)*38))*(1+0.256*AD12/(AD9/AD10)/10/3.6+0.36*AD13/(AD9/AD10)/10/3.6+0.383*AD14*3.25*AD10/AD9/10/3.6)</f>
        <v>1</v>
      </c>
      <c r="AF12" s="66"/>
      <c r="AG12" s="69">
        <f>(1-(AF14*3.257*AF10+AF12*AF10+AF13*3*AF10)*38/(AF9*Z16*10+(AF14*3.257*AF10+AF12*AF10+AF13*3*AF10)))*(1+0.256*AF12/(AF9/AF10)/10/3.6+0.36*AF13/(AF9/AF10)/10/3.6+0.383*AF14*3.25*AF10/AF9/10/3.6)</f>
        <v>1</v>
      </c>
      <c r="AH12" s="66"/>
      <c r="AI12" s="69">
        <f>(1-(AH14*3.257*AH10+AH12*AH10+AH13*3*AH10)*38/(AH9*Z16*10+(AF14*3.257*AF10+AF12*AF10+AF13*3*AF10)))*(1+0.256*AH12/(AH9/AH10)/10/3.6+0.36*AH13/(AH9/AH10)/10/3.6+0.383*AH14*3.25*AH10/AH9/10/3.6)</f>
        <v>1</v>
      </c>
      <c r="AJ12" s="66"/>
      <c r="AK12" s="69">
        <f>(1-(AJ14*3.257*AJ10+AJ12*AJ10+AJ13*3*AJ10)*38/(AJ9*Z16*10)+(AJ14*3.257*AJ10+AJ12*AJ10+AJ13*3*AJ10)*38)*(1+0.256*AJ12/(AJ9/AJ10)/10/3.6+0.36*AJ13/(AJ9/AJ10)/10/3.6+0.383*AJ14*3.25*AJ10/AJ9/10/3.6)</f>
        <v>1</v>
      </c>
      <c r="AM12" s="39"/>
      <c r="AN12" s="41" t="s">
        <v>37</v>
      </c>
      <c r="AO12" s="39"/>
      <c r="AP12" s="63">
        <v>1</v>
      </c>
      <c r="AQ12" s="39" t="s">
        <v>36</v>
      </c>
      <c r="AR12" s="70">
        <f t="shared" ref="AR12:AV12" si="13">AR9/AR10/24/30</f>
        <v>0.806866666666667</v>
      </c>
      <c r="AS12" s="2">
        <f t="shared" ref="AS12:AW12" si="14">7.254-0.633*(1-EXP(-AR12*100/29.822))-5.643*(1-EXP(-AR12*100/6.871))</f>
        <v>1.02034798036679</v>
      </c>
      <c r="AT12" s="70">
        <f t="shared" si="13"/>
        <v>0.81908</v>
      </c>
      <c r="AU12" s="2">
        <f t="shared" si="14"/>
        <v>1.01864318912669</v>
      </c>
      <c r="AV12" s="70">
        <f t="shared" si="13"/>
        <v>0.79135</v>
      </c>
      <c r="AW12" s="2">
        <f t="shared" si="14"/>
        <v>1.02261867905137</v>
      </c>
    </row>
    <row r="13" customFormat="1" spans="1:49">
      <c r="A13" s="57"/>
      <c r="B13" s="57"/>
      <c r="C13" s="58" t="s">
        <v>43</v>
      </c>
      <c r="D13" s="57">
        <v>0</v>
      </c>
      <c r="E13" s="57" t="s">
        <v>44</v>
      </c>
      <c r="F13" s="66"/>
      <c r="G13" s="71"/>
      <c r="H13" s="66"/>
      <c r="I13" s="71"/>
      <c r="J13" s="66"/>
      <c r="K13" s="71"/>
      <c r="L13" s="66"/>
      <c r="M13" s="71"/>
      <c r="N13" s="66"/>
      <c r="O13" s="71"/>
      <c r="W13" s="57"/>
      <c r="X13" s="57"/>
      <c r="Y13" s="58" t="s">
        <v>43</v>
      </c>
      <c r="Z13" s="57">
        <v>0</v>
      </c>
      <c r="AA13" s="57" t="s">
        <v>44</v>
      </c>
      <c r="AB13" s="66"/>
      <c r="AC13" s="69"/>
      <c r="AD13" s="66"/>
      <c r="AE13" s="69"/>
      <c r="AF13" s="66"/>
      <c r="AG13" s="69"/>
      <c r="AH13" s="66"/>
      <c r="AI13" s="69"/>
      <c r="AJ13" s="66"/>
      <c r="AK13" s="69"/>
      <c r="AM13" s="39"/>
      <c r="AN13" s="50" t="s">
        <v>39</v>
      </c>
      <c r="AO13" s="72" t="s">
        <v>40</v>
      </c>
      <c r="AP13" s="39">
        <v>0</v>
      </c>
      <c r="AQ13" s="39" t="s">
        <v>41</v>
      </c>
      <c r="AR13" s="73">
        <v>0</v>
      </c>
      <c r="AS13" s="69">
        <f>(1-(AR14*3.257*AR10+AR13*AR10+AR15*3*AR10)*38/(AR9*AP17*10+(AR14*3.257*AR10+AR13*AR10+AR15*3*AR10)*38))*(1+0.256*AR13/(AR9/AR10)/10/3.6+0.36*AR14/(AR9/AR10)/10/3.6+0.383*AR15*3.25*AR10/AR9/10/3.6)</f>
        <v>1</v>
      </c>
      <c r="AT13" s="73"/>
      <c r="AU13" s="69">
        <f>(1-(AT14*3.257*AT10+AT13*AT10+AT15*3*AT10)*38/(AT9*AP17*10+(AT14*3.257*AT10+AT13*AT10+AT15*3*AT10)*38))*(1+0.256*AT13/(AT9/AT10)/10/3.6+0.36*AT14/(AT9/AT10)/10/3.6+0.383*AT15*3.25*AT10/AT9/10/3.6)</f>
        <v>0.99938957291968</v>
      </c>
      <c r="AV13" s="73"/>
      <c r="AW13" s="69">
        <f>(1-(AV14*3.257*AV10+AV13*AV10+AV15*3*AV10)*38/(AV9*AT17*10+(AV14*3.257*AV10+AV13*AV10+AV15*3*AV10)*38))*(1+0.256*AV13/(AV9/AV10)/10/3.6+0.36*AV14/(AV9/AV10)/10/3.6+0.383*AV15*3.25*AV10/AV9/10/3.6)</f>
        <v>0.999946363418289</v>
      </c>
    </row>
    <row r="14" customFormat="1" spans="1:49">
      <c r="A14" s="57"/>
      <c r="B14" s="57"/>
      <c r="C14" s="57" t="s">
        <v>45</v>
      </c>
      <c r="D14" s="57">
        <v>0</v>
      </c>
      <c r="E14" s="57" t="s">
        <v>44</v>
      </c>
      <c r="F14" s="66"/>
      <c r="G14" s="74"/>
      <c r="H14" s="66"/>
      <c r="I14" s="74"/>
      <c r="J14" s="66"/>
      <c r="K14" s="74"/>
      <c r="L14" s="66"/>
      <c r="M14" s="74"/>
      <c r="N14" s="66"/>
      <c r="O14" s="74"/>
      <c r="W14" s="57"/>
      <c r="X14" s="57"/>
      <c r="Y14" s="57" t="s">
        <v>45</v>
      </c>
      <c r="Z14" s="57">
        <v>0</v>
      </c>
      <c r="AA14" s="57" t="s">
        <v>44</v>
      </c>
      <c r="AB14" s="66"/>
      <c r="AC14" s="69"/>
      <c r="AD14" s="66"/>
      <c r="AE14" s="69"/>
      <c r="AF14" s="66"/>
      <c r="AG14" s="69"/>
      <c r="AH14" s="66"/>
      <c r="AI14" s="69"/>
      <c r="AJ14" s="66"/>
      <c r="AK14" s="69"/>
      <c r="AM14" s="39"/>
      <c r="AN14" s="54"/>
      <c r="AO14" s="72" t="s">
        <v>43</v>
      </c>
      <c r="AP14" s="39">
        <v>0</v>
      </c>
      <c r="AQ14" s="39" t="s">
        <v>44</v>
      </c>
      <c r="AR14" s="73"/>
      <c r="AS14" s="69"/>
      <c r="AT14" s="73"/>
      <c r="AU14" s="69"/>
      <c r="AV14" s="73"/>
      <c r="AW14" s="69"/>
    </row>
    <row r="15" customFormat="1" spans="1:49">
      <c r="A15" s="57"/>
      <c r="B15" s="57" t="s">
        <v>46</v>
      </c>
      <c r="C15" s="57"/>
      <c r="D15" s="57">
        <v>1</v>
      </c>
      <c r="E15" s="75" t="s">
        <v>36</v>
      </c>
      <c r="F15" s="66"/>
      <c r="G15" s="69">
        <f t="shared" ref="G15:K15" si="15">G4*G5*G7*G8*G11*G12</f>
        <v>1.00701223013766</v>
      </c>
      <c r="H15" s="66"/>
      <c r="I15" s="69">
        <f t="shared" si="15"/>
        <v>0.974473741539695</v>
      </c>
      <c r="J15" s="66"/>
      <c r="K15" s="69" t="e">
        <f t="shared" si="15"/>
        <v>#DIV/0!</v>
      </c>
      <c r="L15" s="66"/>
      <c r="M15" s="69">
        <f>M4*M5*M7*M8*M11*M12</f>
        <v>1.61432768478058</v>
      </c>
      <c r="N15" s="66"/>
      <c r="O15" s="69">
        <f>O4*O5*O7*O8*O11*O12</f>
        <v>0.990560589438919</v>
      </c>
      <c r="W15" s="57"/>
      <c r="X15" s="57" t="s">
        <v>46</v>
      </c>
      <c r="Y15" s="57"/>
      <c r="Z15" s="57">
        <v>1</v>
      </c>
      <c r="AA15" s="75" t="s">
        <v>36</v>
      </c>
      <c r="AB15" s="66"/>
      <c r="AC15" s="69">
        <f t="shared" ref="AC15:AG15" si="16">AC4*AC5*AC7*AC8*AC11*AC12</f>
        <v>0.989847663831774</v>
      </c>
      <c r="AD15" s="66"/>
      <c r="AE15" s="69">
        <f t="shared" si="16"/>
        <v>1.0199915124412</v>
      </c>
      <c r="AF15" s="66"/>
      <c r="AG15" s="69">
        <f t="shared" si="16"/>
        <v>1.0626981902431</v>
      </c>
      <c r="AH15" s="66"/>
      <c r="AI15" s="69">
        <f>AI4*AI5*AI7*AI8*AI11*AI12</f>
        <v>1.0648722982768</v>
      </c>
      <c r="AJ15" s="66"/>
      <c r="AK15" s="69">
        <f>AK4*AK5*AK7*AK8*AK11*AK12</f>
        <v>1.02163828018447</v>
      </c>
      <c r="AM15" s="39"/>
      <c r="AN15" s="47"/>
      <c r="AO15" s="39" t="s">
        <v>45</v>
      </c>
      <c r="AP15" s="39">
        <v>0</v>
      </c>
      <c r="AQ15" s="39" t="s">
        <v>44</v>
      </c>
      <c r="AR15" s="73">
        <v>0</v>
      </c>
      <c r="AS15" s="69"/>
      <c r="AT15" s="73">
        <f>43*24*15/20</f>
        <v>774</v>
      </c>
      <c r="AU15" s="69"/>
      <c r="AV15" s="73">
        <f>43*24</f>
        <v>1032</v>
      </c>
      <c r="AW15" s="69"/>
    </row>
    <row r="16" customFormat="1" spans="1:49">
      <c r="A16" s="57"/>
      <c r="B16" s="57" t="s">
        <v>47</v>
      </c>
      <c r="C16" s="57"/>
      <c r="D16" s="57">
        <v>336</v>
      </c>
      <c r="E16" s="75" t="s">
        <v>48</v>
      </c>
      <c r="F16" s="66">
        <f>339*G15+600*100/F9+100*100/F9</f>
        <v>347.289767605505</v>
      </c>
      <c r="G16" s="66"/>
      <c r="H16" s="66">
        <f>339*I15</f>
        <v>330.346598381957</v>
      </c>
      <c r="I16" s="66"/>
      <c r="J16" s="66">
        <v>0</v>
      </c>
      <c r="K16" s="66"/>
      <c r="L16" s="66">
        <f>D16*M15+2*600*100/L9</f>
        <v>5456.41901609119</v>
      </c>
      <c r="M16" s="66"/>
      <c r="N16" s="66">
        <f>325.13*O15</f>
        <v>322.060964444276</v>
      </c>
      <c r="O16" s="66"/>
      <c r="W16" s="57"/>
      <c r="X16" s="57" t="s">
        <v>47</v>
      </c>
      <c r="Y16" s="57"/>
      <c r="Z16" s="57">
        <v>325.13</v>
      </c>
      <c r="AA16" s="75" t="s">
        <v>48</v>
      </c>
      <c r="AB16" s="66">
        <f>Z16*AC15</f>
        <v>321.829170941625</v>
      </c>
      <c r="AC16" s="66"/>
      <c r="AD16" s="66">
        <f>Z16*AE15</f>
        <v>331.629840440007</v>
      </c>
      <c r="AE16" s="66"/>
      <c r="AF16" s="66">
        <f>Z16*AG15</f>
        <v>345.51506259374</v>
      </c>
      <c r="AG16" s="66"/>
      <c r="AH16" s="66">
        <f>Z16*AI15</f>
        <v>346.221930338737</v>
      </c>
      <c r="AI16" s="66"/>
      <c r="AJ16" s="66">
        <f>Z16*AK15</f>
        <v>332.165254036377</v>
      </c>
      <c r="AK16" s="66"/>
      <c r="AM16" s="39"/>
      <c r="AN16" s="41" t="s">
        <v>46</v>
      </c>
      <c r="AO16" s="39"/>
      <c r="AP16" s="39">
        <v>1</v>
      </c>
      <c r="AQ16" s="76" t="s">
        <v>36</v>
      </c>
      <c r="AR16" s="73"/>
      <c r="AS16" s="56">
        <f t="shared" ref="AS16:AW16" si="17">AS4*AS5*AS7*AS8*AS12</f>
        <v>1.02156025972481</v>
      </c>
      <c r="AT16" s="73"/>
      <c r="AU16" s="56">
        <f t="shared" si="17"/>
        <v>1.01314845239914</v>
      </c>
      <c r="AV16" s="73"/>
      <c r="AW16" s="56">
        <f t="shared" si="17"/>
        <v>0.995807251581092</v>
      </c>
    </row>
    <row r="17" customFormat="1" spans="1:49">
      <c r="A17" s="77" t="s">
        <v>49</v>
      </c>
      <c r="B17" s="77" t="s">
        <v>31</v>
      </c>
      <c r="C17" s="77"/>
      <c r="D17" s="77" t="s">
        <v>50</v>
      </c>
      <c r="E17" s="78"/>
      <c r="F17" s="77">
        <v>19357.404</v>
      </c>
      <c r="G17" s="77"/>
      <c r="H17" s="77">
        <v>11958.056</v>
      </c>
      <c r="I17" s="77"/>
      <c r="J17" s="77">
        <v>20132.64</v>
      </c>
      <c r="K17" s="77"/>
      <c r="L17" s="77">
        <v>19793.4</v>
      </c>
      <c r="M17" s="77"/>
      <c r="N17" s="77">
        <v>1351.68</v>
      </c>
      <c r="O17" s="77"/>
      <c r="W17" s="77" t="s">
        <v>49</v>
      </c>
      <c r="X17" s="77" t="s">
        <v>31</v>
      </c>
      <c r="Y17" s="77"/>
      <c r="Z17" s="77" t="s">
        <v>50</v>
      </c>
      <c r="AA17" s="78"/>
      <c r="AB17" s="77">
        <v>1351.68</v>
      </c>
      <c r="AC17" s="77"/>
      <c r="AD17" s="77">
        <v>359.04</v>
      </c>
      <c r="AE17" s="77"/>
      <c r="AF17" s="77">
        <v>18313.68</v>
      </c>
      <c r="AG17" s="77"/>
      <c r="AH17" s="77">
        <v>19112.94</v>
      </c>
      <c r="AI17" s="77"/>
      <c r="AJ17" s="77">
        <v>18645.66</v>
      </c>
      <c r="AK17" s="77"/>
      <c r="AM17" s="39"/>
      <c r="AN17" s="41" t="s">
        <v>47</v>
      </c>
      <c r="AO17" s="39"/>
      <c r="AP17" s="39">
        <v>325.13</v>
      </c>
      <c r="AQ17" s="76" t="s">
        <v>48</v>
      </c>
      <c r="AR17" s="73">
        <f>AP17*AS16+(AR13*AS13+AR14*3*AU14)/24</f>
        <v>332.139887244326</v>
      </c>
      <c r="AS17" s="73"/>
      <c r="AT17" s="73">
        <f>AP17*AU16+(AR13*AS13+AR14*3*AS14+AT15*3.25*AU15)/24</f>
        <v>329.404956328533</v>
      </c>
      <c r="AU17" s="73"/>
      <c r="AV17" s="73">
        <f>AP17*AW16+(AV13*AW13+AV14*3*AW14+AV15*3.25*AW15)/24</f>
        <v>323.766811706561</v>
      </c>
      <c r="AW17" s="73"/>
    </row>
    <row r="18" customFormat="1" spans="1:49">
      <c r="A18" s="77"/>
      <c r="B18" s="77" t="s">
        <v>35</v>
      </c>
      <c r="C18" s="77"/>
      <c r="D18" s="78"/>
      <c r="E18" s="78" t="s">
        <v>51</v>
      </c>
      <c r="F18" s="78">
        <f t="shared" ref="F18:J18" si="18">G18/24</f>
        <v>31</v>
      </c>
      <c r="G18" s="78">
        <v>744</v>
      </c>
      <c r="H18" s="78">
        <f t="shared" si="18"/>
        <v>20.1525</v>
      </c>
      <c r="I18" s="78">
        <v>483.66</v>
      </c>
      <c r="J18" s="78">
        <f t="shared" si="18"/>
        <v>31</v>
      </c>
      <c r="K18" s="78">
        <v>744</v>
      </c>
      <c r="L18" s="78">
        <f>M18/24</f>
        <v>30</v>
      </c>
      <c r="M18" s="78">
        <v>720</v>
      </c>
      <c r="N18" s="78">
        <f>O18/24</f>
        <v>2.4025</v>
      </c>
      <c r="O18" s="78">
        <v>57.66</v>
      </c>
      <c r="W18" s="77"/>
      <c r="X18" s="77" t="s">
        <v>35</v>
      </c>
      <c r="Y18" s="77"/>
      <c r="Z18" s="78"/>
      <c r="AA18" s="78" t="s">
        <v>51</v>
      </c>
      <c r="AB18" s="78">
        <f t="shared" ref="AB18:AF18" si="19">AC18/24</f>
        <v>2.4025</v>
      </c>
      <c r="AC18" s="78">
        <v>57.66</v>
      </c>
      <c r="AD18" s="78">
        <f t="shared" si="19"/>
        <v>1.99041666666667</v>
      </c>
      <c r="AE18" s="78">
        <v>47.77</v>
      </c>
      <c r="AF18" s="78">
        <f t="shared" si="19"/>
        <v>30.41</v>
      </c>
      <c r="AG18" s="78">
        <v>729.84</v>
      </c>
      <c r="AH18" s="78">
        <f>AI18/24</f>
        <v>31</v>
      </c>
      <c r="AI18" s="78">
        <v>744</v>
      </c>
      <c r="AJ18" s="78">
        <f>AK18/24</f>
        <v>30</v>
      </c>
      <c r="AK18" s="78">
        <v>720</v>
      </c>
      <c r="AM18" s="39"/>
      <c r="AN18" s="40" t="s">
        <v>52</v>
      </c>
      <c r="AO18" s="41"/>
      <c r="AP18" s="42"/>
      <c r="AQ18" s="79"/>
      <c r="AR18" s="39"/>
      <c r="AS18" s="39"/>
      <c r="AT18" s="39"/>
      <c r="AU18" s="39"/>
      <c r="AV18" s="39"/>
      <c r="AW18" s="39"/>
    </row>
    <row r="19" customFormat="1" spans="1:49">
      <c r="A19" s="77"/>
      <c r="B19" s="77" t="s">
        <v>37</v>
      </c>
      <c r="C19" s="77"/>
      <c r="D19" s="80">
        <v>1</v>
      </c>
      <c r="E19" s="77" t="s">
        <v>36</v>
      </c>
      <c r="F19" s="80">
        <f t="shared" ref="F19:J19" si="20">F17/F18/24/30</f>
        <v>0.867267204301075</v>
      </c>
      <c r="G19" s="81">
        <f t="shared" ref="G19:K19" si="21">7.254-0.633*(1-EXP(-F19*100/29.822))-5.643*(1-EXP(-F19*100/6.871))</f>
        <v>1.01256575077938</v>
      </c>
      <c r="H19" s="80">
        <f t="shared" si="20"/>
        <v>0.824136514631491</v>
      </c>
      <c r="I19" s="81">
        <f t="shared" si="21"/>
        <v>1.01795783513349</v>
      </c>
      <c r="J19" s="80">
        <f t="shared" si="20"/>
        <v>0.902</v>
      </c>
      <c r="K19" s="81">
        <f t="shared" si="21"/>
        <v>1.00876023421467</v>
      </c>
      <c r="L19" s="80">
        <f>L17/L18/24/30</f>
        <v>0.916361111111111</v>
      </c>
      <c r="M19" s="81">
        <f>7.254-0.633*(1-EXP(-L19*100/29.822))-5.643*(1-EXP(-L19*100/6.871))</f>
        <v>1.00731245267911</v>
      </c>
      <c r="N19" s="80">
        <f>N17/N18/24/30</f>
        <v>0.781408255289629</v>
      </c>
      <c r="O19" s="81">
        <f>7.254-0.633*(1-EXP(-N19*100/29.822))-5.643*(1-EXP(-N19*100/6.871))</f>
        <v>1.02413804364369</v>
      </c>
      <c r="W19" s="77"/>
      <c r="X19" s="77" t="s">
        <v>37</v>
      </c>
      <c r="Y19" s="77"/>
      <c r="Z19" s="80">
        <v>1</v>
      </c>
      <c r="AA19" s="77" t="s">
        <v>36</v>
      </c>
      <c r="AB19" s="80">
        <f t="shared" ref="AB19:AF19" si="22">AB17/AB18/24/30</f>
        <v>0.781408255289629</v>
      </c>
      <c r="AC19" s="81">
        <f t="shared" ref="AC19:AG19" si="23">7.254-0.633*(1-EXP(-AB19*100/29.822))-5.643*(1-EXP(-AB19*100/6.871))</f>
        <v>1.02413804364369</v>
      </c>
      <c r="AD19" s="80">
        <f t="shared" si="22"/>
        <v>0.250533807829181</v>
      </c>
      <c r="AE19" s="81">
        <f t="shared" si="23"/>
        <v>1.39846522200427</v>
      </c>
      <c r="AF19" s="80">
        <f t="shared" si="22"/>
        <v>0.836424421791078</v>
      </c>
      <c r="AG19" s="81">
        <f t="shared" si="23"/>
        <v>1.01634056237641</v>
      </c>
      <c r="AH19" s="80">
        <f>AH17/AH18/24/30</f>
        <v>0.856314516129032</v>
      </c>
      <c r="AI19" s="81">
        <f>7.254-0.633*(1-EXP(-AH19*100/29.822))-5.643*(1-EXP(-AH19*100/6.871))</f>
        <v>1.0138613630663</v>
      </c>
      <c r="AJ19" s="80">
        <f>AJ17/AJ18/24/30</f>
        <v>0.863225</v>
      </c>
      <c r="AK19" s="81">
        <f>7.254-0.633*(1-EXP(-AJ19*100/29.822))-5.643*(1-EXP(-AJ19*100/6.871))</f>
        <v>1.01303833351642</v>
      </c>
      <c r="AM19" s="39" t="s">
        <v>49</v>
      </c>
      <c r="AN19" s="39" t="s">
        <v>31</v>
      </c>
      <c r="AO19" s="39"/>
      <c r="AP19" s="42" t="s">
        <v>50</v>
      </c>
      <c r="AQ19" s="79"/>
      <c r="AR19" s="39">
        <f>36018.528/2</f>
        <v>18009.264</v>
      </c>
      <c r="AS19" s="39"/>
      <c r="AT19" s="39">
        <f>29486.88/50*30</f>
        <v>17692.128</v>
      </c>
      <c r="AU19" s="39"/>
      <c r="AV19" s="39">
        <f>35325.864/2</f>
        <v>17662.932</v>
      </c>
      <c r="AW19" s="39"/>
    </row>
    <row r="20" customFormat="1" spans="1:49">
      <c r="A20" s="77"/>
      <c r="B20" s="77" t="s">
        <v>39</v>
      </c>
      <c r="C20" s="78" t="s">
        <v>40</v>
      </c>
      <c r="D20" s="77">
        <v>0</v>
      </c>
      <c r="E20" s="77" t="s">
        <v>41</v>
      </c>
      <c r="F20" s="82">
        <v>6807</v>
      </c>
      <c r="G20" s="83">
        <f>(1-F20*F18*40/(F20*F18*40+F17*D22*10))*(1+0.256*F20/(F17/F18)/10/3.6)</f>
        <v>0.954716982248933</v>
      </c>
      <c r="H20" s="82">
        <v>3584.89285714286</v>
      </c>
      <c r="I20" s="83">
        <f>(1-H20*H18*38/(H17*D22*10+H20*H18*38))*(1+0.256*H20/(H17/H18)/10/3.6)</f>
        <v>0.976810404196703</v>
      </c>
      <c r="J20" s="82">
        <v>4864.75714285714</v>
      </c>
      <c r="K20" s="83">
        <f>(1-J20*J18*38/(J17*D22*10+J20*J18*38))*(1+0.256*J20/(J17/J18)/10/3.6)</f>
        <v>0.971678710135719</v>
      </c>
      <c r="L20" s="84"/>
      <c r="M20" s="83">
        <f>(1-L20*L18*38/(L17*D16*10+L20*L18*38))*(1+0.256*L20/(L17/L18)/10/3.6)</f>
        <v>1</v>
      </c>
      <c r="N20" s="84"/>
      <c r="O20" s="83">
        <f>(1-N20*N18*38/(N17*D16*10+L20*L18*38))*(1+0.256*N20/(N17/N18)/10/3.6)</f>
        <v>1</v>
      </c>
      <c r="W20" s="77"/>
      <c r="X20" s="77" t="s">
        <v>39</v>
      </c>
      <c r="Y20" s="78" t="s">
        <v>40</v>
      </c>
      <c r="Z20" s="77">
        <v>0</v>
      </c>
      <c r="AA20" s="77" t="s">
        <v>41</v>
      </c>
      <c r="AB20" s="84"/>
      <c r="AC20" s="83">
        <f>(1-AB20*AB18*38/(AB17*Z22*10+AB20*AB18*38))*(1+0.256*AB20/(AB17/AB18)/10/3.6)</f>
        <v>1</v>
      </c>
      <c r="AD20" s="84"/>
      <c r="AE20" s="83">
        <f>(1-AD20*AD18*38/(AD17*Z22*10+AD20*AD18*38))*(1+0.256*AD20/(AD17/AD18)/10/3.6)</f>
        <v>1</v>
      </c>
      <c r="AF20" s="84"/>
      <c r="AG20" s="83">
        <f>(1-AF20*AF18*38/(AF17*Z22*10+AF20*AF18*38))*(1+0.256*AF20/(AF17/AF18)/10/3.6)</f>
        <v>1</v>
      </c>
      <c r="AH20" s="84"/>
      <c r="AI20" s="83">
        <f>(1-AH20*AH18*38/(AH17*Z22*10+AH20*AH18*38))*(1+0.256*AH20/(AH17/AH18)/10/3.6)</f>
        <v>1</v>
      </c>
      <c r="AJ20" s="84"/>
      <c r="AK20" s="83">
        <f>(1-AJ20*AJ18*38/(AJ17*Z16*10+AJ20*AJ18*38))*(1+0.256*AJ20/(AJ17/AJ18)/10/3.6)</f>
        <v>1</v>
      </c>
      <c r="AM20" s="39"/>
      <c r="AN20" s="59" t="s">
        <v>35</v>
      </c>
      <c r="AO20" s="47"/>
      <c r="AP20" s="72"/>
      <c r="AQ20" s="72" t="s">
        <v>51</v>
      </c>
      <c r="AR20" s="60">
        <v>31</v>
      </c>
      <c r="AS20" s="47"/>
      <c r="AT20" s="60">
        <v>30</v>
      </c>
      <c r="AU20" s="47"/>
      <c r="AV20" s="60">
        <v>31</v>
      </c>
      <c r="AW20" s="47"/>
    </row>
    <row r="21" customFormat="1" spans="1:49">
      <c r="A21" s="77"/>
      <c r="B21" s="77" t="s">
        <v>46</v>
      </c>
      <c r="C21" s="77"/>
      <c r="D21" s="77">
        <v>1</v>
      </c>
      <c r="E21" s="85" t="s">
        <v>36</v>
      </c>
      <c r="F21" s="84"/>
      <c r="G21" s="83">
        <f t="shared" ref="G21:K21" si="24">G4*G5*G7*G8*G19*G20</f>
        <v>0.927881728799745</v>
      </c>
      <c r="H21" s="84"/>
      <c r="I21" s="83">
        <f t="shared" si="24"/>
        <v>0.953586438975489</v>
      </c>
      <c r="J21" s="84"/>
      <c r="K21" s="83">
        <f t="shared" si="24"/>
        <v>0.94467651865719</v>
      </c>
      <c r="L21" s="84"/>
      <c r="M21" s="83">
        <f>M4*M5*M7*M8*M19*M20</f>
        <v>0.978844114543044</v>
      </c>
      <c r="N21" s="84"/>
      <c r="O21" s="83">
        <f>O4*O5*O7*O8*O19*O20</f>
        <v>1.01101212958022</v>
      </c>
      <c r="W21" s="77"/>
      <c r="X21" s="77" t="s">
        <v>46</v>
      </c>
      <c r="Y21" s="77"/>
      <c r="Z21" s="77">
        <v>1</v>
      </c>
      <c r="AA21" s="85" t="s">
        <v>36</v>
      </c>
      <c r="AB21" s="84"/>
      <c r="AC21" s="83">
        <f t="shared" ref="AC21:AG21" si="25">AC4*AC5*AC7*AC8*AC19*AC20</f>
        <v>1.01028448460424</v>
      </c>
      <c r="AD21" s="84"/>
      <c r="AE21" s="83">
        <f t="shared" si="25"/>
        <v>1.42615803696743</v>
      </c>
      <c r="AF21" s="84"/>
      <c r="AG21" s="83">
        <f t="shared" si="25"/>
        <v>1.06763698236541</v>
      </c>
      <c r="AH21" s="84"/>
      <c r="AI21" s="83">
        <f>AI4*AI5*AI7*AI8*AI19*AI20</f>
        <v>1.07617298377974</v>
      </c>
      <c r="AJ21" s="84"/>
      <c r="AK21" s="83">
        <f>AK4*AK5*AK7*AK8*AK19*AK20</f>
        <v>1.02945491945433</v>
      </c>
      <c r="AM21" s="39"/>
      <c r="AN21" s="59" t="s">
        <v>38</v>
      </c>
      <c r="AO21" s="47"/>
      <c r="AP21" s="63"/>
      <c r="AQ21" s="39"/>
      <c r="AR21" s="64"/>
      <c r="AS21" s="65"/>
      <c r="AT21" s="64"/>
      <c r="AU21" s="65"/>
      <c r="AV21" s="64"/>
      <c r="AW21" s="65"/>
    </row>
    <row r="22" customFormat="1" spans="1:49">
      <c r="A22" s="77"/>
      <c r="B22" s="77" t="s">
        <v>47</v>
      </c>
      <c r="C22" s="77"/>
      <c r="D22" s="77">
        <v>339</v>
      </c>
      <c r="E22" s="85" t="s">
        <v>48</v>
      </c>
      <c r="F22" s="83">
        <f>D22*G21</f>
        <v>314.551906063114</v>
      </c>
      <c r="G22" s="83"/>
      <c r="H22" s="84">
        <f>339*I21+600*100/H17</f>
        <v>328.2833407804</v>
      </c>
      <c r="I22" s="84"/>
      <c r="J22" s="84">
        <f>D22*K21</f>
        <v>320.245339824787</v>
      </c>
      <c r="K22" s="84"/>
      <c r="L22" s="84">
        <f>339*M21</f>
        <v>331.828154830092</v>
      </c>
      <c r="M22" s="84"/>
      <c r="N22" s="84">
        <f>D22*O21</f>
        <v>342.733111927696</v>
      </c>
      <c r="O22" s="84"/>
      <c r="W22" s="77"/>
      <c r="X22" s="77" t="s">
        <v>47</v>
      </c>
      <c r="Y22" s="77"/>
      <c r="Z22" s="77">
        <v>325.13</v>
      </c>
      <c r="AA22" s="85" t="s">
        <v>48</v>
      </c>
      <c r="AB22" s="84">
        <f>339*AC21</f>
        <v>342.486440280838</v>
      </c>
      <c r="AC22" s="84"/>
      <c r="AD22" s="84">
        <f>Z22*AE21+2*600*100/AD17</f>
        <v>797.911361489702</v>
      </c>
      <c r="AE22" s="84"/>
      <c r="AF22" s="84">
        <f>Z22*AG21+2*600*100/AF17</f>
        <v>353.673290879197</v>
      </c>
      <c r="AG22" s="84"/>
      <c r="AH22" s="84">
        <f>Z22*AI21</f>
        <v>349.896122216307</v>
      </c>
      <c r="AI22" s="84"/>
      <c r="AJ22" s="84">
        <f>Z22*AK21</f>
        <v>334.706677962187</v>
      </c>
      <c r="AK22" s="84"/>
      <c r="AM22" s="39"/>
      <c r="AN22" s="41" t="s">
        <v>37</v>
      </c>
      <c r="AO22" s="39"/>
      <c r="AP22" s="63">
        <v>1</v>
      </c>
      <c r="AQ22" s="39" t="s">
        <v>36</v>
      </c>
      <c r="AR22" s="70">
        <f t="shared" ref="AR22:AV22" si="26">AR19/AR20/24/30</f>
        <v>0.806866666666667</v>
      </c>
      <c r="AS22" s="2">
        <f t="shared" ref="AS22:AW22" si="27">7.254-0.633*(1-EXP(-AR22*100/29.822))-5.643*(1-EXP(-AR22*100/6.871))</f>
        <v>1.02034798036679</v>
      </c>
      <c r="AT22" s="70">
        <f t="shared" si="26"/>
        <v>0.81908</v>
      </c>
      <c r="AU22" s="2">
        <f t="shared" si="27"/>
        <v>1.01864318912669</v>
      </c>
      <c r="AV22" s="70">
        <f t="shared" si="26"/>
        <v>0.79135</v>
      </c>
      <c r="AW22" s="2">
        <f t="shared" si="27"/>
        <v>1.02261867905137</v>
      </c>
    </row>
    <row r="23" customFormat="1" spans="1:49">
      <c r="A23" s="43" t="s">
        <v>53</v>
      </c>
      <c r="B23" s="39" t="s">
        <v>54</v>
      </c>
      <c r="C23" s="39"/>
      <c r="D23" s="39" t="s">
        <v>36</v>
      </c>
      <c r="E23" s="76" t="s">
        <v>48</v>
      </c>
      <c r="F23" s="73">
        <f t="shared" ref="F23:J23" si="28">(F22*F17+F16*F9)/(F9+F17)</f>
        <v>326.975939548083</v>
      </c>
      <c r="G23" s="73"/>
      <c r="H23" s="73">
        <f t="shared" si="28"/>
        <v>329.209527320755</v>
      </c>
      <c r="I23" s="73"/>
      <c r="J23" s="73">
        <f t="shared" si="28"/>
        <v>320.245339824787</v>
      </c>
      <c r="K23" s="73"/>
      <c r="L23" s="73">
        <f>(L22*L17+L16*L9)/(L9+L17)</f>
        <v>338.142800377988</v>
      </c>
      <c r="M23" s="73"/>
      <c r="N23" s="73">
        <f>(N22*N17+N16*N9)/(N9+N17)</f>
        <v>323.289072182101</v>
      </c>
      <c r="O23" s="73"/>
      <c r="W23" s="43" t="s">
        <v>53</v>
      </c>
      <c r="X23" s="39" t="s">
        <v>54</v>
      </c>
      <c r="Y23" s="39"/>
      <c r="Z23" s="39" t="s">
        <v>36</v>
      </c>
      <c r="AA23" s="76" t="s">
        <v>48</v>
      </c>
      <c r="AB23" s="73">
        <f t="shared" ref="AB23:AF23" si="29">(AB22*AB17+AB16*AB9)/(AB9+AB17)</f>
        <v>323.056394786567</v>
      </c>
      <c r="AC23" s="73"/>
      <c r="AD23" s="73">
        <f t="shared" si="29"/>
        <v>339.258397399228</v>
      </c>
      <c r="AE23" s="73"/>
      <c r="AF23" s="73">
        <f t="shared" si="29"/>
        <v>349.462239076536</v>
      </c>
      <c r="AG23" s="73"/>
      <c r="AH23" s="73">
        <f>(AH22*AH17+AH16*AH9)/(AH9+AH17)</f>
        <v>347.952983645973</v>
      </c>
      <c r="AI23" s="73"/>
      <c r="AJ23" s="73">
        <f>(AJ22*AJ17+AJ16*AJ9)/(AJ9+AJ17)</f>
        <v>333.38385900138</v>
      </c>
      <c r="AK23" s="73"/>
      <c r="AM23" s="39"/>
      <c r="AN23" s="41" t="s">
        <v>39</v>
      </c>
      <c r="AO23" s="72" t="s">
        <v>40</v>
      </c>
      <c r="AP23" s="39">
        <v>0</v>
      </c>
      <c r="AQ23" s="39" t="s">
        <v>41</v>
      </c>
      <c r="AR23" s="73"/>
      <c r="AS23" s="83">
        <f>(1-AR23*AR20*38/(AR19*AP25*10+AR23*AR20*38))*(1+0.256*AR23/(AR19/AR20)/10/3.6)</f>
        <v>1</v>
      </c>
      <c r="AT23" s="73"/>
      <c r="AU23" s="83">
        <f>(1-AT23*AT20*38/(AT19*AP25*10+AT23*AT20*38))*(1+0.256*AT23/(AT19/AT20)/10/3.6)</f>
        <v>1</v>
      </c>
      <c r="AV23" s="73"/>
      <c r="AW23" s="83">
        <f>(1-AV23*AV20*38/(AV19*AP25*10+AV23*AV20*38))*(1+0.256*AV23/(AV19/AV20)/10/3.6)</f>
        <v>1</v>
      </c>
    </row>
    <row r="24" customFormat="1" spans="1:49">
      <c r="A24" s="43"/>
      <c r="B24" s="39" t="s">
        <v>55</v>
      </c>
      <c r="C24" s="39"/>
      <c r="D24" s="43"/>
      <c r="E24" s="43"/>
      <c r="F24" s="43">
        <v>1</v>
      </c>
      <c r="G24" s="43">
        <v>1</v>
      </c>
      <c r="H24" s="43">
        <v>0</v>
      </c>
      <c r="I24" s="43">
        <v>1</v>
      </c>
      <c r="J24" s="43">
        <v>0</v>
      </c>
      <c r="K24" s="43">
        <v>0</v>
      </c>
      <c r="L24" s="43">
        <v>2</v>
      </c>
      <c r="M24" s="43">
        <v>1</v>
      </c>
      <c r="N24" s="43">
        <v>0</v>
      </c>
      <c r="O24" s="43">
        <v>0</v>
      </c>
      <c r="W24" s="43"/>
      <c r="X24" s="39" t="s">
        <v>55</v>
      </c>
      <c r="Y24" s="39"/>
      <c r="Z24" s="43"/>
      <c r="AA24" s="43"/>
      <c r="AB24" s="43">
        <v>0</v>
      </c>
      <c r="AC24" s="43">
        <v>0</v>
      </c>
      <c r="AD24" s="43">
        <v>0</v>
      </c>
      <c r="AE24" s="43">
        <v>0</v>
      </c>
      <c r="AF24" s="43">
        <v>0</v>
      </c>
      <c r="AG24" s="43">
        <v>0</v>
      </c>
      <c r="AH24" s="43">
        <v>0</v>
      </c>
      <c r="AI24" s="43">
        <v>0</v>
      </c>
      <c r="AJ24" s="43">
        <v>0</v>
      </c>
      <c r="AK24" s="43">
        <v>0</v>
      </c>
      <c r="AM24" s="39"/>
      <c r="AN24" s="41" t="s">
        <v>46</v>
      </c>
      <c r="AO24" s="39"/>
      <c r="AP24" s="39">
        <v>1</v>
      </c>
      <c r="AQ24" s="76" t="s">
        <v>36</v>
      </c>
      <c r="AR24" s="73"/>
      <c r="AS24" s="56">
        <f t="shared" ref="AS24:AW24" si="30">AS4*AS5*AS7*AS8*AS22*AS23</f>
        <v>1.02156025972481</v>
      </c>
      <c r="AT24" s="73"/>
      <c r="AU24" s="56">
        <f t="shared" si="30"/>
        <v>1.01314845239914</v>
      </c>
      <c r="AV24" s="73"/>
      <c r="AW24" s="56">
        <f t="shared" si="30"/>
        <v>0.995807251581092</v>
      </c>
    </row>
    <row r="25" customFormat="1" spans="1:49">
      <c r="A25" s="43"/>
      <c r="B25" s="39" t="s">
        <v>56</v>
      </c>
      <c r="C25" s="39"/>
      <c r="D25" s="43"/>
      <c r="E25" s="43"/>
      <c r="F25" s="43">
        <v>0</v>
      </c>
      <c r="G25" s="43">
        <v>0</v>
      </c>
      <c r="H25" s="43">
        <v>1</v>
      </c>
      <c r="I25" s="43">
        <v>1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1</v>
      </c>
      <c r="W25" s="43"/>
      <c r="X25" s="39" t="s">
        <v>56</v>
      </c>
      <c r="Y25" s="39"/>
      <c r="Z25" s="43"/>
      <c r="AA25" s="43"/>
      <c r="AB25" s="43">
        <v>0</v>
      </c>
      <c r="AC25" s="43">
        <v>1</v>
      </c>
      <c r="AD25" s="43">
        <v>2</v>
      </c>
      <c r="AE25" s="43">
        <v>1</v>
      </c>
      <c r="AF25" s="43">
        <v>2</v>
      </c>
      <c r="AG25" s="43">
        <v>2</v>
      </c>
      <c r="AH25" s="43">
        <v>0</v>
      </c>
      <c r="AI25" s="43">
        <v>0</v>
      </c>
      <c r="AJ25" s="43">
        <v>0</v>
      </c>
      <c r="AK25" s="43">
        <v>0</v>
      </c>
      <c r="AM25" s="39"/>
      <c r="AN25" s="41" t="s">
        <v>47</v>
      </c>
      <c r="AO25" s="39"/>
      <c r="AP25" s="39">
        <v>325.13</v>
      </c>
      <c r="AQ25" s="76" t="s">
        <v>48</v>
      </c>
      <c r="AR25" s="73">
        <f>AP25*AS24</f>
        <v>332.139887244326</v>
      </c>
      <c r="AS25" s="73"/>
      <c r="AT25" s="73">
        <f>AP25*AU24</f>
        <v>329.404956328533</v>
      </c>
      <c r="AU25" s="73"/>
      <c r="AV25" s="73">
        <f>AP25*AW24</f>
        <v>323.766811706561</v>
      </c>
      <c r="AW25" s="73"/>
    </row>
    <row r="26" customFormat="1" spans="1:49">
      <c r="A26" s="43"/>
      <c r="B26" s="39" t="s">
        <v>57</v>
      </c>
      <c r="C26" s="39"/>
      <c r="D26" s="39"/>
      <c r="E26" s="39"/>
      <c r="F26" s="97" t="s">
        <v>58</v>
      </c>
      <c r="G26" s="39"/>
      <c r="H26" s="97" t="s">
        <v>59</v>
      </c>
      <c r="I26" s="39"/>
      <c r="J26" s="39">
        <v>0</v>
      </c>
      <c r="K26" s="39"/>
      <c r="L26" s="97" t="s">
        <v>60</v>
      </c>
      <c r="M26" s="39"/>
      <c r="N26" s="97" t="s">
        <v>61</v>
      </c>
      <c r="O26" s="39"/>
      <c r="W26" s="43"/>
      <c r="X26" s="39" t="s">
        <v>57</v>
      </c>
      <c r="Y26" s="39"/>
      <c r="Z26" s="39"/>
      <c r="AA26" s="39"/>
      <c r="AB26" s="97" t="s">
        <v>61</v>
      </c>
      <c r="AC26" s="39"/>
      <c r="AD26" s="97" t="s">
        <v>62</v>
      </c>
      <c r="AE26" s="39"/>
      <c r="AF26" s="97" t="s">
        <v>63</v>
      </c>
      <c r="AG26" s="39"/>
      <c r="AH26" s="97" t="s">
        <v>64</v>
      </c>
      <c r="AI26" s="39"/>
      <c r="AJ26" s="97" t="s">
        <v>65</v>
      </c>
      <c r="AK26" s="39"/>
      <c r="AM26" s="43"/>
      <c r="AN26" s="40" t="s">
        <v>52</v>
      </c>
      <c r="AO26" s="41"/>
      <c r="AP26" s="39"/>
      <c r="AQ26" s="76"/>
      <c r="AR26" s="73"/>
      <c r="AS26" s="73"/>
      <c r="AT26" s="73"/>
      <c r="AU26" s="73"/>
      <c r="AV26" s="73"/>
      <c r="AW26" s="73"/>
    </row>
    <row r="27" customFormat="1" spans="1:49">
      <c r="A27" s="43"/>
      <c r="B27" s="39" t="s">
        <v>66</v>
      </c>
      <c r="C27" s="39"/>
      <c r="D27" s="39"/>
      <c r="E27" s="39"/>
      <c r="F27" s="97" t="s">
        <v>67</v>
      </c>
      <c r="G27" s="39"/>
      <c r="H27" s="97" t="s">
        <v>68</v>
      </c>
      <c r="I27" s="39"/>
      <c r="J27" s="97" t="s">
        <v>69</v>
      </c>
      <c r="K27" s="39"/>
      <c r="L27" s="97" t="s">
        <v>70</v>
      </c>
      <c r="M27" s="39"/>
      <c r="N27" s="97" t="s">
        <v>71</v>
      </c>
      <c r="O27" s="39"/>
      <c r="W27" s="43"/>
      <c r="X27" s="39" t="s">
        <v>66</v>
      </c>
      <c r="Y27" s="39"/>
      <c r="Z27" s="39"/>
      <c r="AA27" s="39"/>
      <c r="AB27" s="97" t="s">
        <v>71</v>
      </c>
      <c r="AC27" s="39"/>
      <c r="AD27" s="39">
        <v>147.2289890017</v>
      </c>
      <c r="AE27" s="39"/>
      <c r="AF27" s="97" t="s">
        <v>72</v>
      </c>
      <c r="AG27" s="39"/>
      <c r="AH27" s="97" t="s">
        <v>73</v>
      </c>
      <c r="AI27" s="39"/>
      <c r="AJ27" s="97" t="s">
        <v>74</v>
      </c>
      <c r="AK27" s="39"/>
      <c r="AM27" s="43" t="s">
        <v>53</v>
      </c>
      <c r="AN27" s="39" t="s">
        <v>54</v>
      </c>
      <c r="AO27" s="39"/>
      <c r="AP27" s="39" t="s">
        <v>36</v>
      </c>
      <c r="AQ27" s="76" t="s">
        <v>48</v>
      </c>
      <c r="AR27" s="73">
        <f t="shared" ref="AR27:AV27" si="31">(AR25*AR22+AR17*AR12)/(AR12+AR22)</f>
        <v>332.139887244326</v>
      </c>
      <c r="AS27" s="73"/>
      <c r="AT27" s="73">
        <f t="shared" si="31"/>
        <v>329.404956328533</v>
      </c>
      <c r="AU27" s="73"/>
      <c r="AV27" s="73">
        <f t="shared" si="31"/>
        <v>323.766811706561</v>
      </c>
      <c r="AW27" s="73"/>
    </row>
    <row r="28" customFormat="1" spans="1:49">
      <c r="A28" s="43"/>
      <c r="B28" s="39" t="s">
        <v>75</v>
      </c>
      <c r="C28" s="39"/>
      <c r="D28" s="39"/>
      <c r="E28" s="39"/>
      <c r="F28" s="97" t="s">
        <v>76</v>
      </c>
      <c r="G28" s="39"/>
      <c r="H28" s="97" t="s">
        <v>77</v>
      </c>
      <c r="I28" s="39"/>
      <c r="J28" s="97" t="s">
        <v>78</v>
      </c>
      <c r="K28" s="39"/>
      <c r="L28" s="97" t="s">
        <v>79</v>
      </c>
      <c r="M28" s="39"/>
      <c r="N28" s="97" t="s">
        <v>80</v>
      </c>
      <c r="O28" s="39"/>
      <c r="W28" s="43"/>
      <c r="X28" s="39" t="s">
        <v>75</v>
      </c>
      <c r="Y28" s="39"/>
      <c r="Z28" s="39"/>
      <c r="AA28" s="39"/>
      <c r="AB28" s="97" t="s">
        <v>80</v>
      </c>
      <c r="AC28" s="39"/>
      <c r="AD28" s="97" t="s">
        <v>81</v>
      </c>
      <c r="AE28" s="39"/>
      <c r="AF28" s="97" t="s">
        <v>82</v>
      </c>
      <c r="AG28" s="39"/>
      <c r="AH28" s="97" t="s">
        <v>83</v>
      </c>
      <c r="AI28" s="39"/>
      <c r="AJ28" s="97" t="s">
        <v>84</v>
      </c>
      <c r="AK28" s="39"/>
    </row>
    <row r="29" customFormat="1" spans="1:49">
      <c r="B29" s="37" t="s">
        <v>85</v>
      </c>
      <c r="C29" s="37"/>
      <c r="D29" s="39"/>
      <c r="E29" s="39"/>
      <c r="F29" s="97" t="s">
        <v>86</v>
      </c>
      <c r="G29" s="39"/>
      <c r="H29" s="97" t="s">
        <v>87</v>
      </c>
      <c r="I29" s="39"/>
      <c r="J29" s="97" t="s">
        <v>88</v>
      </c>
      <c r="K29" s="39"/>
      <c r="L29" s="39" t="s">
        <v>36</v>
      </c>
      <c r="M29" s="39"/>
      <c r="N29" s="39"/>
      <c r="O29" s="39"/>
      <c r="X29" s="37" t="s">
        <v>85</v>
      </c>
      <c r="Y29" s="37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</row>
    <row r="35" customFormat="1" ht="25.5" spans="1:49">
      <c r="B35" s="36" t="s">
        <v>0</v>
      </c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X35" s="36" t="s">
        <v>1</v>
      </c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M35" s="38" t="s">
        <v>2</v>
      </c>
      <c r="AN35" s="38"/>
      <c r="AO35" s="38"/>
      <c r="AP35" s="38"/>
      <c r="AQ35" s="38"/>
      <c r="AR35" s="38"/>
      <c r="AS35" s="38"/>
      <c r="AT35" s="38"/>
      <c r="AU35" s="38"/>
      <c r="AV35" s="38"/>
      <c r="AW35" s="38"/>
    </row>
    <row r="36" customFormat="1" spans="1:49">
      <c r="A36" s="39" t="s">
        <v>3</v>
      </c>
      <c r="B36" s="39"/>
      <c r="C36" s="39"/>
      <c r="D36" s="39" t="s">
        <v>4</v>
      </c>
      <c r="E36" s="39" t="s">
        <v>5</v>
      </c>
      <c r="F36" s="39" t="s">
        <v>6</v>
      </c>
      <c r="G36" s="39"/>
      <c r="H36" s="39" t="s">
        <v>7</v>
      </c>
      <c r="I36" s="39"/>
      <c r="J36" s="39" t="s">
        <v>8</v>
      </c>
      <c r="K36" s="39"/>
      <c r="L36" s="39" t="s">
        <v>9</v>
      </c>
      <c r="M36" s="39"/>
      <c r="N36" s="39" t="s">
        <v>10</v>
      </c>
      <c r="O36" s="39"/>
      <c r="W36" s="39" t="s">
        <v>3</v>
      </c>
      <c r="X36" s="39"/>
      <c r="Y36" s="39"/>
      <c r="Z36" s="39" t="s">
        <v>4</v>
      </c>
      <c r="AA36" s="39" t="s">
        <v>5</v>
      </c>
      <c r="AB36" s="39" t="s">
        <v>10</v>
      </c>
      <c r="AC36" s="39"/>
      <c r="AD36" s="39" t="s">
        <v>11</v>
      </c>
      <c r="AE36" s="39"/>
      <c r="AF36" s="39" t="s">
        <v>12</v>
      </c>
      <c r="AG36" s="39"/>
      <c r="AH36" s="39" t="s">
        <v>13</v>
      </c>
      <c r="AI36" s="39"/>
      <c r="AJ36" s="39" t="s">
        <v>14</v>
      </c>
      <c r="AK36" s="39"/>
      <c r="AM36" s="39" t="s">
        <v>3</v>
      </c>
      <c r="AN36" s="39"/>
      <c r="AO36" s="39"/>
      <c r="AP36" s="39" t="s">
        <v>4</v>
      </c>
      <c r="AQ36" s="39" t="s">
        <v>5</v>
      </c>
      <c r="AR36" s="40" t="s">
        <v>15</v>
      </c>
      <c r="AS36" s="41"/>
      <c r="AT36" s="42" t="s">
        <v>16</v>
      </c>
      <c r="AU36" s="41"/>
      <c r="AV36" s="42" t="s">
        <v>17</v>
      </c>
      <c r="AW36" s="41"/>
    </row>
    <row r="37" customFormat="1" spans="1:49">
      <c r="A37" s="39"/>
      <c r="B37" s="39"/>
      <c r="C37" s="39"/>
      <c r="D37" s="39"/>
      <c r="E37" s="39"/>
      <c r="F37" s="43" t="s">
        <v>18</v>
      </c>
      <c r="G37" s="43" t="s">
        <v>19</v>
      </c>
      <c r="H37" s="43" t="s">
        <v>18</v>
      </c>
      <c r="I37" s="43" t="s">
        <v>19</v>
      </c>
      <c r="J37" s="43" t="s">
        <v>18</v>
      </c>
      <c r="K37" s="43" t="s">
        <v>19</v>
      </c>
      <c r="L37" s="43" t="s">
        <v>18</v>
      </c>
      <c r="M37" s="43" t="s">
        <v>19</v>
      </c>
      <c r="N37" s="43" t="s">
        <v>18</v>
      </c>
      <c r="O37" s="43" t="s">
        <v>19</v>
      </c>
      <c r="W37" s="39"/>
      <c r="X37" s="39"/>
      <c r="Y37" s="39"/>
      <c r="Z37" s="39"/>
      <c r="AA37" s="39"/>
      <c r="AB37" s="43" t="s">
        <v>18</v>
      </c>
      <c r="AC37" s="43" t="s">
        <v>19</v>
      </c>
      <c r="AD37" s="43" t="s">
        <v>18</v>
      </c>
      <c r="AE37" s="43" t="s">
        <v>19</v>
      </c>
      <c r="AF37" s="43" t="s">
        <v>18</v>
      </c>
      <c r="AG37" s="43" t="s">
        <v>19</v>
      </c>
      <c r="AH37" s="43" t="s">
        <v>18</v>
      </c>
      <c r="AI37" s="43" t="s">
        <v>19</v>
      </c>
      <c r="AJ37" s="43" t="s">
        <v>18</v>
      </c>
      <c r="AK37" s="43" t="s">
        <v>19</v>
      </c>
      <c r="AM37" s="39"/>
      <c r="AN37" s="39"/>
      <c r="AO37" s="39"/>
      <c r="AP37" s="39"/>
      <c r="AQ37" s="39"/>
      <c r="AR37" s="43" t="s">
        <v>18</v>
      </c>
      <c r="AS37" s="43" t="s">
        <v>19</v>
      </c>
      <c r="AT37" s="43" t="s">
        <v>18</v>
      </c>
      <c r="AU37" s="43" t="s">
        <v>19</v>
      </c>
      <c r="AV37" s="43" t="s">
        <v>18</v>
      </c>
      <c r="AW37" s="43" t="s">
        <v>19</v>
      </c>
    </row>
    <row r="38" customFormat="1" spans="1:49">
      <c r="A38" s="44" t="s">
        <v>20</v>
      </c>
      <c r="B38" s="44" t="s">
        <v>21</v>
      </c>
      <c r="C38" s="44"/>
      <c r="D38" s="44">
        <v>19</v>
      </c>
      <c r="E38" s="44" t="s">
        <v>22</v>
      </c>
      <c r="F38" s="45">
        <v>6.15</v>
      </c>
      <c r="G38" s="45">
        <f>(F38-D38)/5*2.7/325.13+1</f>
        <v>0.978657767662166</v>
      </c>
      <c r="H38" s="45">
        <v>4.99853571428571</v>
      </c>
      <c r="I38" s="45">
        <f>(H38-D38)/5*2.7/325.13+1</f>
        <v>0.976745330439253</v>
      </c>
      <c r="J38" s="45">
        <v>7.62096774193549</v>
      </c>
      <c r="K38" s="45">
        <f>(J38-D38)/5*2.7/325.13+1</f>
        <v>0.981100859904177</v>
      </c>
      <c r="L38" s="45">
        <v>12.8923333333333</v>
      </c>
      <c r="M38" s="45">
        <f>(L38-D38)/5*2.7/325.13+1</f>
        <v>0.989855934549257</v>
      </c>
      <c r="N38" s="45">
        <v>18.2736451612903</v>
      </c>
      <c r="O38" s="45">
        <f>(N38-D38)/5*7.5/325.13+1</f>
        <v>0.996648933478718</v>
      </c>
      <c r="W38" s="44" t="s">
        <v>20</v>
      </c>
      <c r="X38" s="44" t="s">
        <v>21</v>
      </c>
      <c r="Y38" s="44"/>
      <c r="Z38" s="44">
        <v>19</v>
      </c>
      <c r="AA38" s="44" t="s">
        <v>22</v>
      </c>
      <c r="AB38" s="45">
        <v>18.2736451612903</v>
      </c>
      <c r="AC38" s="45">
        <f>(AB38-Z38)/5*7.5/325.13+1</f>
        <v>0.996648933478718</v>
      </c>
      <c r="AD38" s="45">
        <v>23.1218</v>
      </c>
      <c r="AE38" s="45">
        <f>(AD38-Z38)/5*7.5/325.13+1</f>
        <v>1.01901608587334</v>
      </c>
      <c r="AF38" s="45">
        <v>28.1445161290323</v>
      </c>
      <c r="AG38" s="45">
        <f>(AF38-Z38)/5*7.5/325.13+1</f>
        <v>1.04218858362362</v>
      </c>
      <c r="AH38" s="45">
        <v>30.3582258064516</v>
      </c>
      <c r="AI38" s="45">
        <f>(AH38-Z38)/5*7.5/325.13+1</f>
        <v>1.05240161999716</v>
      </c>
      <c r="AJ38" s="45">
        <v>27.1458333333333</v>
      </c>
      <c r="AK38" s="45">
        <f>(AJ38-Z38)/5*2.7/325.13+1</f>
        <v>1.01352920370313</v>
      </c>
      <c r="AM38" s="46" t="s">
        <v>20</v>
      </c>
      <c r="AN38" s="47" t="s">
        <v>21</v>
      </c>
      <c r="AO38" s="46"/>
      <c r="AP38" s="39">
        <v>15</v>
      </c>
      <c r="AQ38" s="39" t="s">
        <v>22</v>
      </c>
      <c r="AR38" s="48">
        <v>21.8</v>
      </c>
      <c r="AS38" s="45">
        <f>(AR38-AP38)/5*7.5/325.13+0.975</f>
        <v>1.00637206655799</v>
      </c>
      <c r="AT38" s="48">
        <v>17</v>
      </c>
      <c r="AU38" s="45">
        <f>(AT38-AP38)/5*7.5/325.13+1</f>
        <v>1.00922707839941</v>
      </c>
      <c r="AV38" s="48">
        <v>9.97</v>
      </c>
      <c r="AW38" s="48">
        <f>(AV38-AP38)/5*2.7/325.13+1</f>
        <v>0.991645803217175</v>
      </c>
    </row>
    <row r="39" customFormat="1" spans="1:49">
      <c r="A39" s="44"/>
      <c r="B39" s="44" t="s">
        <v>23</v>
      </c>
      <c r="C39" s="44"/>
      <c r="D39" s="44">
        <v>25</v>
      </c>
      <c r="E39" s="44" t="s">
        <v>22</v>
      </c>
      <c r="F39" s="44">
        <v>15</v>
      </c>
      <c r="G39" s="44">
        <f>1+0.002*(F39-D39)</f>
        <v>0.98</v>
      </c>
      <c r="H39" s="44">
        <v>15</v>
      </c>
      <c r="I39" s="44">
        <f>1+0.002*(H39-D39)</f>
        <v>0.98</v>
      </c>
      <c r="J39" s="44">
        <v>15</v>
      </c>
      <c r="K39" s="44">
        <f>1+0.002*(J39-D39)</f>
        <v>0.98</v>
      </c>
      <c r="L39" s="44">
        <v>15</v>
      </c>
      <c r="M39" s="44">
        <f>1+0.002*(L39-D39)</f>
        <v>0.98</v>
      </c>
      <c r="N39" s="44">
        <v>20</v>
      </c>
      <c r="O39" s="44">
        <f>1+0.002*(N39-D39)</f>
        <v>0.99</v>
      </c>
      <c r="W39" s="44"/>
      <c r="X39" s="44" t="s">
        <v>23</v>
      </c>
      <c r="Y39" s="44"/>
      <c r="Z39" s="44">
        <v>25</v>
      </c>
      <c r="AA39" s="44" t="s">
        <v>22</v>
      </c>
      <c r="AB39" s="44">
        <v>20</v>
      </c>
      <c r="AC39" s="44">
        <f>1+0.002*(AB39-Z39)</f>
        <v>0.99</v>
      </c>
      <c r="AD39" s="44">
        <v>24.5</v>
      </c>
      <c r="AE39" s="44">
        <f>1+0.002*(AD39-Z39)</f>
        <v>0.999</v>
      </c>
      <c r="AF39" s="44">
        <v>28</v>
      </c>
      <c r="AG39" s="44">
        <f>1+0.002*(AF39-Z39)</f>
        <v>1.006</v>
      </c>
      <c r="AH39" s="44">
        <v>28.5</v>
      </c>
      <c r="AI39" s="44">
        <f>1+0.002*(AH39-Z39)</f>
        <v>1.007</v>
      </c>
      <c r="AJ39" s="44">
        <v>25</v>
      </c>
      <c r="AK39" s="44">
        <f>1+0.002*(AJ39-Z39)</f>
        <v>1</v>
      </c>
      <c r="AM39" s="39"/>
      <c r="AN39" s="41" t="s">
        <v>23</v>
      </c>
      <c r="AO39" s="39"/>
      <c r="AP39" s="39">
        <v>25</v>
      </c>
      <c r="AQ39" s="39" t="s">
        <v>22</v>
      </c>
      <c r="AR39" s="39">
        <v>21.71</v>
      </c>
      <c r="AS39" s="39">
        <f>1+0.002*(AR39-AP39)</f>
        <v>0.99342</v>
      </c>
      <c r="AT39" s="39">
        <v>16.76</v>
      </c>
      <c r="AU39" s="39">
        <f>1+0.002*(AT39-AP39)</f>
        <v>0.98352</v>
      </c>
      <c r="AV39" s="39">
        <v>15</v>
      </c>
      <c r="AW39" s="39">
        <f>1+0.002*(AV39-AP39)</f>
        <v>0.98</v>
      </c>
    </row>
    <row r="40" customFormat="1" spans="1:49">
      <c r="A40" s="44"/>
      <c r="B40" s="44" t="s">
        <v>24</v>
      </c>
      <c r="C40" s="44" t="s">
        <v>25</v>
      </c>
      <c r="D40" s="44">
        <v>4854</v>
      </c>
      <c r="E40" s="44" t="s">
        <v>26</v>
      </c>
      <c r="F40" s="49">
        <v>5133.87173062674</v>
      </c>
      <c r="G40" s="49"/>
      <c r="H40" s="49">
        <v>5122.47938377856</v>
      </c>
      <c r="I40" s="49"/>
      <c r="J40" s="49">
        <v>5087.61042677892</v>
      </c>
      <c r="K40" s="49"/>
      <c r="L40" s="49">
        <v>5125.10071132122</v>
      </c>
      <c r="M40" s="49"/>
      <c r="N40" s="49">
        <v>5389.50130469822</v>
      </c>
      <c r="O40" s="49"/>
      <c r="W40" s="44"/>
      <c r="X40" s="44" t="s">
        <v>24</v>
      </c>
      <c r="Y40" s="44" t="s">
        <v>25</v>
      </c>
      <c r="Z40" s="44">
        <v>4854</v>
      </c>
      <c r="AA40" s="44" t="s">
        <v>26</v>
      </c>
      <c r="AB40" s="49">
        <v>5389.50130469822</v>
      </c>
      <c r="AC40" s="49"/>
      <c r="AD40" s="49">
        <v>5215.54600062505</v>
      </c>
      <c r="AE40" s="49"/>
      <c r="AF40" s="49">
        <v>5166.74119266594</v>
      </c>
      <c r="AG40" s="49"/>
      <c r="AH40" s="49">
        <v>5316.11709657702</v>
      </c>
      <c r="AI40" s="49"/>
      <c r="AJ40" s="49">
        <v>5220.51072470538</v>
      </c>
      <c r="AK40" s="49"/>
      <c r="AM40" s="39"/>
      <c r="AN40" s="50" t="s">
        <v>24</v>
      </c>
      <c r="AO40" s="39" t="s">
        <v>25</v>
      </c>
      <c r="AP40" s="39">
        <v>4854</v>
      </c>
      <c r="AQ40" s="39" t="s">
        <v>26</v>
      </c>
      <c r="AR40" s="51">
        <v>5075</v>
      </c>
      <c r="AS40" s="52"/>
      <c r="AT40" s="51">
        <v>5075</v>
      </c>
      <c r="AU40" s="52"/>
      <c r="AV40" s="51">
        <v>5075</v>
      </c>
      <c r="AW40" s="52"/>
    </row>
    <row r="41" customFormat="1" spans="1:49">
      <c r="A41" s="44"/>
      <c r="B41" s="44"/>
      <c r="C41" s="44" t="s">
        <v>27</v>
      </c>
      <c r="D41" s="44">
        <v>8.6</v>
      </c>
      <c r="E41" s="44" t="s">
        <v>28</v>
      </c>
      <c r="F41" s="45">
        <v>11.9967741935484</v>
      </c>
      <c r="G41" s="53">
        <f>1+2.3*(F41-D41)/F40</f>
        <v>1.00152177168716</v>
      </c>
      <c r="H41" s="45">
        <v>12.7035714285714</v>
      </c>
      <c r="I41" s="53">
        <f>1+2.3*(H41-D41)/H40</f>
        <v>1.00184250898415</v>
      </c>
      <c r="J41" s="45">
        <v>13.6612903225806</v>
      </c>
      <c r="K41" s="53">
        <f>1+2.3*(J41-D41)/J40</f>
        <v>1.0022881012431</v>
      </c>
      <c r="L41" s="45">
        <v>12.68</v>
      </c>
      <c r="M41" s="53">
        <f>1+2.3*(L41-D41)/L40</f>
        <v>1.00183098840951</v>
      </c>
      <c r="N41" s="45">
        <v>11.4354838709677</v>
      </c>
      <c r="O41" s="53">
        <f>1+2.3*(N41-D41)/N40</f>
        <v>1.00121005869273</v>
      </c>
      <c r="W41" s="44"/>
      <c r="X41" s="44"/>
      <c r="Y41" s="44" t="s">
        <v>27</v>
      </c>
      <c r="Z41" s="44">
        <v>8.6</v>
      </c>
      <c r="AA41" s="44" t="s">
        <v>28</v>
      </c>
      <c r="AB41" s="45">
        <v>11.4354838709677</v>
      </c>
      <c r="AC41" s="53">
        <f>1+2.3*(AB41-Z41)/AB40</f>
        <v>1.00121005869273</v>
      </c>
      <c r="AD41" s="45">
        <v>11.5733333333333</v>
      </c>
      <c r="AE41" s="53">
        <f>1+2.3*(AD41-Z41)/AD40</f>
        <v>1.00131120819677</v>
      </c>
      <c r="AF41" s="45">
        <v>12.658064516129</v>
      </c>
      <c r="AG41" s="53">
        <f>1+2.3*(AF41-Z41)/AF40</f>
        <v>1.00180646717903</v>
      </c>
      <c r="AH41" s="45">
        <v>13.2064516129032</v>
      </c>
      <c r="AI41" s="53">
        <f>1+2.3*(AH41-Z41)/AH40</f>
        <v>1.00199296563962</v>
      </c>
      <c r="AJ41" s="45">
        <v>14.016</v>
      </c>
      <c r="AK41" s="53">
        <f>1+2.3*(AJ41-Z41)/AJ40</f>
        <v>1.00238612669466</v>
      </c>
      <c r="AM41" s="39"/>
      <c r="AN41" s="54"/>
      <c r="AO41" s="39" t="s">
        <v>27</v>
      </c>
      <c r="AP41" s="39">
        <v>8.6</v>
      </c>
      <c r="AQ41" s="39" t="s">
        <v>28</v>
      </c>
      <c r="AR41" s="39">
        <f t="shared" ref="AR41:AV41" si="32">28.54-(AR39-4854)/37.694</f>
        <v>156.737856422773</v>
      </c>
      <c r="AS41" s="53">
        <f t="shared" ref="AS41:AW41" si="33">1+0.0001*(AR41-AP41)</f>
        <v>1.01481378564228</v>
      </c>
      <c r="AT41" s="39">
        <f t="shared" si="32"/>
        <v>156.869177057357</v>
      </c>
      <c r="AU41" s="53">
        <f t="shared" si="33"/>
        <v>1.00001313206346</v>
      </c>
      <c r="AV41" s="39">
        <f t="shared" si="32"/>
        <v>156.915868838542</v>
      </c>
      <c r="AW41" s="53">
        <f t="shared" si="33"/>
        <v>1.00000466917812</v>
      </c>
    </row>
    <row r="42" customFormat="1" spans="1:49">
      <c r="A42" s="44"/>
      <c r="B42" s="44"/>
      <c r="C42" s="44" t="s">
        <v>29</v>
      </c>
      <c r="D42" s="44">
        <v>28.54</v>
      </c>
      <c r="E42" s="44" t="s">
        <v>28</v>
      </c>
      <c r="F42" s="39">
        <f t="shared" ref="F42:J42" si="34">28.54-(F40-4854)/37.694</f>
        <v>21.1151649963724</v>
      </c>
      <c r="G42" s="53">
        <f t="shared" ref="G42:K42" si="35">1+0.0001*(F42-D42)</f>
        <v>0.999257516499637</v>
      </c>
      <c r="H42" s="39">
        <f t="shared" si="34"/>
        <v>21.4173973635443</v>
      </c>
      <c r="I42" s="53">
        <f t="shared" si="35"/>
        <v>1.00003022323672</v>
      </c>
      <c r="J42" s="39">
        <f t="shared" si="34"/>
        <v>22.342450608083</v>
      </c>
      <c r="K42" s="53">
        <f t="shared" si="35"/>
        <v>1.00009250532445</v>
      </c>
      <c r="L42" s="39">
        <f>28.54-(L40-4854)/37.694</f>
        <v>21.3478550612506</v>
      </c>
      <c r="M42" s="53">
        <f>1+0.0001*(L42-J42)</f>
        <v>0.999900540445317</v>
      </c>
      <c r="N42" s="39">
        <f>28.54-(N40-4854)/37.694</f>
        <v>14.3334603730509</v>
      </c>
      <c r="O42" s="53">
        <f>1+0.0001*(N42-L42)</f>
        <v>0.99929856053118</v>
      </c>
      <c r="P42" s="39"/>
      <c r="W42" s="44"/>
      <c r="X42" s="44"/>
      <c r="Y42" s="44" t="s">
        <v>29</v>
      </c>
      <c r="Z42" s="44">
        <v>28.54</v>
      </c>
      <c r="AA42" s="44" t="s">
        <v>28</v>
      </c>
      <c r="AB42" s="39">
        <f t="shared" ref="AB42:AF42" si="36">28.54+(4854-AB40)/235*7</f>
        <v>12.5888973068615</v>
      </c>
      <c r="AC42" s="53">
        <f>1+0.0001*(AB42-Z42)</f>
        <v>0.998404889730686</v>
      </c>
      <c r="AD42" s="39">
        <f t="shared" si="36"/>
        <v>17.7705446622326</v>
      </c>
      <c r="AE42" s="53">
        <f>1+0.0001*(AD42-Z42)</f>
        <v>0.998923054466223</v>
      </c>
      <c r="AF42" s="39">
        <f t="shared" si="36"/>
        <v>19.2243048993124</v>
      </c>
      <c r="AG42" s="53">
        <f>1+0.0001*(AF42-Z42)</f>
        <v>0.999068430489931</v>
      </c>
      <c r="AH42" s="39">
        <f>28.54+(4854-AH40)/235*7</f>
        <v>14.7748098891952</v>
      </c>
      <c r="AI42" s="53">
        <f>1+0.0001*(AH42-Z42)</f>
        <v>0.99862348098892</v>
      </c>
      <c r="AJ42" s="86">
        <v>18.8166666666667</v>
      </c>
      <c r="AK42" s="53">
        <f>1+0.0001*(AJ42-Z42)</f>
        <v>0.999027666666667</v>
      </c>
      <c r="AM42" s="39"/>
      <c r="AN42" s="54"/>
      <c r="AO42" s="39" t="s">
        <v>29</v>
      </c>
      <c r="AP42" s="39">
        <v>28.54</v>
      </c>
      <c r="AQ42" s="39" t="s">
        <v>28</v>
      </c>
      <c r="AR42" s="39">
        <v>25</v>
      </c>
      <c r="AS42" s="56">
        <f>1+0.001*(AR42-AP42)</f>
        <v>0.99646</v>
      </c>
      <c r="AT42" s="39">
        <v>25</v>
      </c>
      <c r="AU42" s="56">
        <f>1+0.001*(AT42-AP42)</f>
        <v>0.99646</v>
      </c>
      <c r="AV42" s="39">
        <v>25</v>
      </c>
      <c r="AW42" s="56">
        <f>1+0.001*(AV42-AP42)</f>
        <v>0.99646</v>
      </c>
    </row>
    <row r="43" customFormat="1" spans="1:49">
      <c r="A43" s="57" t="s">
        <v>30</v>
      </c>
      <c r="B43" s="57" t="s">
        <v>31</v>
      </c>
      <c r="C43" s="57"/>
      <c r="D43" s="57" t="s">
        <v>32</v>
      </c>
      <c r="E43" s="57"/>
      <c r="F43" s="57">
        <v>11839.08</v>
      </c>
      <c r="G43" s="57"/>
      <c r="H43" s="57">
        <v>9740.28</v>
      </c>
      <c r="I43" s="57"/>
      <c r="J43" s="57">
        <v>0</v>
      </c>
      <c r="K43" s="57"/>
      <c r="L43" s="57">
        <v>24.42</v>
      </c>
      <c r="M43" s="57"/>
      <c r="N43" s="95" t="s">
        <v>33</v>
      </c>
      <c r="O43" s="57"/>
      <c r="W43" s="57" t="s">
        <v>30</v>
      </c>
      <c r="X43" s="57" t="s">
        <v>31</v>
      </c>
      <c r="Y43" s="57"/>
      <c r="Z43" s="57" t="s">
        <v>32</v>
      </c>
      <c r="AA43" s="57"/>
      <c r="AB43" s="95" t="s">
        <v>33</v>
      </c>
      <c r="AC43" s="57"/>
      <c r="AD43" s="57">
        <v>21586.62</v>
      </c>
      <c r="AE43" s="57"/>
      <c r="AF43" s="57">
        <v>19537.98</v>
      </c>
      <c r="AG43" s="57"/>
      <c r="AH43" s="95" t="s">
        <v>34</v>
      </c>
      <c r="AI43" s="57"/>
      <c r="AJ43" s="57">
        <v>20240.22</v>
      </c>
      <c r="AK43" s="57"/>
      <c r="AM43" s="39" t="s">
        <v>30</v>
      </c>
      <c r="AN43" s="39" t="s">
        <v>31</v>
      </c>
      <c r="AO43" s="39"/>
      <c r="AP43" s="39" t="s">
        <v>32</v>
      </c>
      <c r="AQ43" s="39"/>
      <c r="AR43" s="39">
        <f>36018.528/2</f>
        <v>18009.264</v>
      </c>
      <c r="AS43" s="39"/>
      <c r="AT43" s="39">
        <f>29486.88/50*20</f>
        <v>11794.752</v>
      </c>
      <c r="AU43" s="39"/>
      <c r="AV43" s="39">
        <f>35325.864/2</f>
        <v>17662.932</v>
      </c>
      <c r="AW43" s="39"/>
    </row>
    <row r="44" customFormat="1" spans="1:49">
      <c r="A44" s="57"/>
      <c r="B44" s="57" t="s">
        <v>35</v>
      </c>
      <c r="C44" s="57"/>
      <c r="D44" s="57" t="s">
        <v>36</v>
      </c>
      <c r="E44" s="57"/>
      <c r="F44" s="58">
        <f t="shared" ref="F44:J44" si="37">G44/24</f>
        <v>25.16</v>
      </c>
      <c r="G44" s="58">
        <v>603.84</v>
      </c>
      <c r="H44" s="58">
        <f t="shared" si="37"/>
        <v>18.6875</v>
      </c>
      <c r="I44" s="58">
        <v>448.5</v>
      </c>
      <c r="J44" s="58">
        <f t="shared" si="37"/>
        <v>0</v>
      </c>
      <c r="K44" s="58">
        <v>0</v>
      </c>
      <c r="L44" s="58">
        <f>M44/24</f>
        <v>0.1775</v>
      </c>
      <c r="M44" s="58">
        <v>4.26</v>
      </c>
      <c r="N44" s="58">
        <f>O44/24</f>
        <v>31</v>
      </c>
      <c r="O44" s="58">
        <v>744</v>
      </c>
      <c r="W44" s="57"/>
      <c r="X44" s="57" t="s">
        <v>35</v>
      </c>
      <c r="Y44" s="57"/>
      <c r="Z44" s="57" t="s">
        <v>36</v>
      </c>
      <c r="AA44" s="57"/>
      <c r="AB44" s="58">
        <f t="shared" ref="AB44:AF44" si="38">AC44/24</f>
        <v>31</v>
      </c>
      <c r="AC44" s="58">
        <v>744</v>
      </c>
      <c r="AD44" s="58">
        <f t="shared" si="38"/>
        <v>30</v>
      </c>
      <c r="AE44" s="58">
        <v>720</v>
      </c>
      <c r="AF44" s="58">
        <f t="shared" si="38"/>
        <v>31</v>
      </c>
      <c r="AG44" s="58">
        <v>744</v>
      </c>
      <c r="AH44" s="58">
        <f>AI44/24</f>
        <v>31</v>
      </c>
      <c r="AI44" s="58">
        <v>744</v>
      </c>
      <c r="AJ44" s="58">
        <f>AK44/24</f>
        <v>30</v>
      </c>
      <c r="AK44" s="58">
        <v>720</v>
      </c>
      <c r="AM44" s="39"/>
      <c r="AN44" s="59" t="s">
        <v>35</v>
      </c>
      <c r="AO44" s="47"/>
      <c r="AP44" s="60" t="s">
        <v>36</v>
      </c>
      <c r="AQ44" s="47"/>
      <c r="AR44" s="60">
        <v>31</v>
      </c>
      <c r="AS44" s="47"/>
      <c r="AT44" s="60">
        <v>20</v>
      </c>
      <c r="AU44" s="47"/>
      <c r="AV44" s="60">
        <v>31</v>
      </c>
      <c r="AW44" s="47"/>
    </row>
    <row r="45" customFormat="1" spans="1:49">
      <c r="A45" s="57"/>
      <c r="B45" s="57" t="s">
        <v>37</v>
      </c>
      <c r="C45" s="57"/>
      <c r="D45" s="61">
        <v>1</v>
      </c>
      <c r="E45" s="57" t="s">
        <v>36</v>
      </c>
      <c r="F45" s="61">
        <f t="shared" ref="F45:J45" si="39">F43/F44/24/30</f>
        <v>0.653543985161632</v>
      </c>
      <c r="G45" s="62">
        <f t="shared" ref="G45:K45" si="40">7.254-0.633*(1-EXP(-F45*100/29.822))-5.643*(1-EXP(-F45*100/6.871))</f>
        <v>1.04915584256542</v>
      </c>
      <c r="H45" s="61">
        <f t="shared" si="39"/>
        <v>0.723915273132665</v>
      </c>
      <c r="I45" s="62">
        <f t="shared" si="40"/>
        <v>1.03401931123519</v>
      </c>
      <c r="J45" s="61" t="e">
        <f t="shared" si="39"/>
        <v>#DIV/0!</v>
      </c>
      <c r="K45" s="62" t="e">
        <f t="shared" si="40"/>
        <v>#DIV/0!</v>
      </c>
      <c r="L45" s="61">
        <f>L43/L44/24/30</f>
        <v>0.191079812206573</v>
      </c>
      <c r="M45" s="62">
        <f>7.254-0.633*(1-EXP(-L45*100/29.822))-5.643*(1-EXP(-L45*100/6.871))</f>
        <v>1.66127819069867</v>
      </c>
      <c r="N45" s="61">
        <f>N43/N44/24/30</f>
        <v>0.958803763440842</v>
      </c>
      <c r="O45" s="62">
        <f>7.254-0.633*(1-EXP(-N45*100/29.822))-5.643*(1-EXP(-N45*100/6.871))</f>
        <v>1.00342098229794</v>
      </c>
      <c r="W45" s="57"/>
      <c r="X45" s="57" t="s">
        <v>37</v>
      </c>
      <c r="Y45" s="57"/>
      <c r="Z45" s="61">
        <v>1</v>
      </c>
      <c r="AA45" s="57" t="s">
        <v>36</v>
      </c>
      <c r="AB45" s="61">
        <f t="shared" ref="AB45:AF45" si="41">AB43/AB44/24/30</f>
        <v>0.958803763440842</v>
      </c>
      <c r="AC45" s="62">
        <f t="shared" ref="AC45:AG45" si="42">7.254-0.633*(1-EXP(-AB45*100/29.822))-5.643*(1-EXP(-AB45*100/6.871))</f>
        <v>1.00342098229794</v>
      </c>
      <c r="AD45" s="61">
        <f t="shared" si="41"/>
        <v>0.999380555555555</v>
      </c>
      <c r="AE45" s="62">
        <f t="shared" si="42"/>
        <v>1.00018554740377</v>
      </c>
      <c r="AF45" s="61">
        <f t="shared" si="41"/>
        <v>0.87535752688172</v>
      </c>
      <c r="AG45" s="62">
        <f t="shared" si="42"/>
        <v>1.01163906285367</v>
      </c>
      <c r="AH45" s="61">
        <f>AH43/AH44/24/30</f>
        <v>0.96122849462366</v>
      </c>
      <c r="AI45" s="62">
        <f>7.254-0.633*(1-EXP(-AH45*100/29.822))-5.643*(1-EXP(-AH45*100/6.871))</f>
        <v>1.00321499990696</v>
      </c>
      <c r="AJ45" s="61">
        <f>AJ43/AJ44/24/30</f>
        <v>0.937047222222222</v>
      </c>
      <c r="AK45" s="62">
        <f>7.254-0.633*(1-EXP(-AJ45*100/29.822))-5.643*(1-EXP(-AJ45*100/6.871))</f>
        <v>1.00534634519328</v>
      </c>
      <c r="AM45" s="39"/>
      <c r="AN45" s="59" t="s">
        <v>38</v>
      </c>
      <c r="AO45" s="47"/>
      <c r="AP45" s="63"/>
      <c r="AQ45" s="39"/>
      <c r="AR45" s="64"/>
      <c r="AS45" s="65"/>
      <c r="AT45" s="64"/>
      <c r="AU45" s="65"/>
      <c r="AV45" s="64"/>
      <c r="AW45" s="65"/>
    </row>
    <row r="46" customFormat="1" spans="1:49">
      <c r="A46" s="57"/>
      <c r="B46" s="57" t="s">
        <v>39</v>
      </c>
      <c r="C46" s="58" t="s">
        <v>40</v>
      </c>
      <c r="D46" s="57">
        <v>0</v>
      </c>
      <c r="E46" s="57" t="s">
        <v>41</v>
      </c>
      <c r="F46" s="66"/>
      <c r="G46" s="87">
        <f>-(40-1/0.9/29.306*(1-2532/3103)*1000)</f>
        <v>-33.0232159928925</v>
      </c>
      <c r="H46" s="96" t="s">
        <v>42</v>
      </c>
      <c r="I46" s="87">
        <f t="shared" ref="G46:K46" si="43">-(40-1/0.9/29.306*(1-2476/3103)*1000)</f>
        <v>-32.3389779816875</v>
      </c>
      <c r="J46" s="66"/>
      <c r="K46" s="87">
        <f t="shared" si="43"/>
        <v>-32.3389779816875</v>
      </c>
      <c r="L46" s="66">
        <v>0</v>
      </c>
      <c r="M46" s="87">
        <f>-(40-1/0.9/29.306*(1-2476/3103)*1000)</f>
        <v>-32.3389779816875</v>
      </c>
      <c r="N46" s="66"/>
      <c r="O46" s="87">
        <f>-(40-1/0.9/29.306*(1-2476/3103)*1000)</f>
        <v>-32.3389779816875</v>
      </c>
      <c r="W46" s="57"/>
      <c r="X46" s="57" t="s">
        <v>39</v>
      </c>
      <c r="Y46" s="58" t="s">
        <v>40</v>
      </c>
      <c r="Z46" s="57">
        <v>0</v>
      </c>
      <c r="AA46" s="57" t="s">
        <v>41</v>
      </c>
      <c r="AB46" s="66"/>
      <c r="AC46" s="87">
        <f t="shared" ref="AC46:AG46" si="44">-(40-1/0.9/29.306*(1-2476/3103)*1000)</f>
        <v>-32.3389779816875</v>
      </c>
      <c r="AD46" s="66"/>
      <c r="AE46" s="87">
        <f t="shared" si="44"/>
        <v>-32.3389779816875</v>
      </c>
      <c r="AF46" s="66"/>
      <c r="AG46" s="87">
        <f t="shared" si="44"/>
        <v>-32.3389779816875</v>
      </c>
      <c r="AH46" s="66"/>
      <c r="AI46" s="87">
        <f>-(40-1/0.9/29.306*(1-2476/3103)*1000)</f>
        <v>-32.3389779816875</v>
      </c>
      <c r="AJ46" s="66"/>
      <c r="AK46" s="87">
        <f>-(40-1/0.9/29.306*(1-2476/3103)*1000)</f>
        <v>-32.3389779816875</v>
      </c>
      <c r="AM46" s="39"/>
      <c r="AN46" s="41" t="s">
        <v>37</v>
      </c>
      <c r="AO46" s="39"/>
      <c r="AP46" s="63">
        <v>1</v>
      </c>
      <c r="AQ46" s="39" t="s">
        <v>36</v>
      </c>
      <c r="AR46" s="70">
        <f t="shared" ref="AR46:AV46" si="45">AR43/AR44/24/30</f>
        <v>0.806866666666667</v>
      </c>
      <c r="AS46" s="2">
        <f t="shared" ref="AS46:AW46" si="46">7.254-0.633*(1-EXP(-AR46*100/29.822))-5.643*(1-EXP(-AR46*100/6.871))</f>
        <v>1.02034798036679</v>
      </c>
      <c r="AT46" s="70">
        <f t="shared" si="45"/>
        <v>0.81908</v>
      </c>
      <c r="AU46" s="2">
        <f t="shared" si="46"/>
        <v>1.01864318912669</v>
      </c>
      <c r="AV46" s="70">
        <f t="shared" si="45"/>
        <v>0.79135</v>
      </c>
      <c r="AW46" s="2">
        <f t="shared" si="46"/>
        <v>1.02261867905137</v>
      </c>
    </row>
    <row r="47" customFormat="1" spans="1:49">
      <c r="A47" s="57"/>
      <c r="B47" s="57"/>
      <c r="C47" s="58" t="s">
        <v>43</v>
      </c>
      <c r="D47" s="57">
        <v>0</v>
      </c>
      <c r="E47" s="57" t="s">
        <v>44</v>
      </c>
      <c r="F47" s="66"/>
      <c r="G47" s="87">
        <f>3*(1/0.9/29.306*(1-2532/3530)*1000-40)</f>
        <v>-87.8428141288235</v>
      </c>
      <c r="H47" s="66"/>
      <c r="I47" s="87">
        <f t="shared" ref="G47:K47" si="47">3*(1/0.9/29.306*(1-2476/3530)*1000-40)</f>
        <v>-86.0384028975751</v>
      </c>
      <c r="J47" s="66"/>
      <c r="K47" s="87">
        <f t="shared" si="47"/>
        <v>-86.0384028975751</v>
      </c>
      <c r="L47" s="66"/>
      <c r="M47" s="87">
        <f>3*(1/0.9/29.306*(1-2476/3530)*1000-40)</f>
        <v>-86.0384028975751</v>
      </c>
      <c r="N47" s="66"/>
      <c r="O47" s="87">
        <f>3*(1/0.9/29.306*(1-2476/3530)*1000-40)</f>
        <v>-86.0384028975751</v>
      </c>
      <c r="W47" s="57"/>
      <c r="X47" s="57"/>
      <c r="Y47" s="58" t="s">
        <v>43</v>
      </c>
      <c r="Z47" s="57">
        <v>0</v>
      </c>
      <c r="AA47" s="57" t="s">
        <v>44</v>
      </c>
      <c r="AB47" s="66"/>
      <c r="AC47" s="87">
        <f t="shared" ref="AC47:AG47" si="48">3*(1/0.9/29.306*(1-2476/3530)*1000-40)</f>
        <v>-86.0384028975751</v>
      </c>
      <c r="AD47" s="66"/>
      <c r="AE47" s="87">
        <f t="shared" si="48"/>
        <v>-86.0384028975751</v>
      </c>
      <c r="AF47" s="66"/>
      <c r="AG47" s="87">
        <f t="shared" si="48"/>
        <v>-86.0384028975751</v>
      </c>
      <c r="AH47" s="66"/>
      <c r="AI47" s="87">
        <f>3*(1/0.9/29.306*(1-2476/3530)*1000-40)</f>
        <v>-86.0384028975751</v>
      </c>
      <c r="AJ47" s="66"/>
      <c r="AK47" s="87">
        <f>3*(1/0.9/29.306*(1-2476/3530)*1000-40)</f>
        <v>-86.0384028975751</v>
      </c>
      <c r="AM47" s="39"/>
      <c r="AN47" s="50" t="s">
        <v>39</v>
      </c>
      <c r="AO47" s="72" t="s">
        <v>40</v>
      </c>
      <c r="AP47" s="39">
        <v>0</v>
      </c>
      <c r="AQ47" s="39" t="s">
        <v>41</v>
      </c>
      <c r="AR47" s="73">
        <v>0</v>
      </c>
      <c r="AS47" s="87">
        <f t="shared" ref="AS47:AW47" si="49">-(40-1/0.9/29.306*(1-2476/3103)*1000)</f>
        <v>-32.3389779816875</v>
      </c>
      <c r="AT47" s="73"/>
      <c r="AU47" s="87">
        <f t="shared" si="49"/>
        <v>-32.3389779816875</v>
      </c>
      <c r="AV47" s="73"/>
      <c r="AW47" s="87">
        <f t="shared" si="49"/>
        <v>-32.3389779816875</v>
      </c>
    </row>
    <row r="48" customFormat="1" spans="1:49">
      <c r="A48" s="57"/>
      <c r="B48" s="57"/>
      <c r="C48" s="57" t="s">
        <v>45</v>
      </c>
      <c r="D48" s="57">
        <v>0</v>
      </c>
      <c r="E48" s="57" t="s">
        <v>44</v>
      </c>
      <c r="F48" s="66"/>
      <c r="G48" s="87">
        <f>3.5*(1/0.9/29.306*(1-2532/3605)*1000-40)</f>
        <v>-100.503060699912</v>
      </c>
      <c r="H48" s="66"/>
      <c r="I48" s="87">
        <f t="shared" ref="G48:K48" si="50">3.5*(1/0.9/29.306*(1-2476/3605)*1000-40)</f>
        <v>-98.4417106525638</v>
      </c>
      <c r="J48" s="66"/>
      <c r="K48" s="87">
        <f t="shared" si="50"/>
        <v>-98.4417106525638</v>
      </c>
      <c r="L48" s="66"/>
      <c r="M48" s="87">
        <f>3.5*(1/0.9/29.306*(1-2476/3605)*1000-40)</f>
        <v>-98.4417106525638</v>
      </c>
      <c r="N48" s="66"/>
      <c r="O48" s="87">
        <f>3.5*(1/0.9/29.306*(1-2476/3605)*1000-40)</f>
        <v>-98.4417106525638</v>
      </c>
      <c r="W48" s="57"/>
      <c r="X48" s="57"/>
      <c r="Y48" s="57" t="s">
        <v>45</v>
      </c>
      <c r="Z48" s="57">
        <v>0</v>
      </c>
      <c r="AA48" s="57" t="s">
        <v>44</v>
      </c>
      <c r="AB48" s="66"/>
      <c r="AC48" s="87">
        <f t="shared" ref="AC48:AG48" si="51">3.5*(1/0.9/29.306*(1-2476/3605)*1000-40)</f>
        <v>-98.4417106525638</v>
      </c>
      <c r="AD48" s="66"/>
      <c r="AE48" s="87">
        <f t="shared" si="51"/>
        <v>-98.4417106525638</v>
      </c>
      <c r="AF48" s="66"/>
      <c r="AG48" s="87">
        <f t="shared" si="51"/>
        <v>-98.4417106525638</v>
      </c>
      <c r="AH48" s="66"/>
      <c r="AI48" s="87">
        <f>3.5*(1/0.9/29.306*(1-2476/3605)*1000-40)</f>
        <v>-98.4417106525638</v>
      </c>
      <c r="AJ48" s="66"/>
      <c r="AK48" s="87">
        <f>3.5*(1/0.9/29.306*(1-2476/3605)*1000-40)</f>
        <v>-98.4417106525638</v>
      </c>
      <c r="AM48" s="39"/>
      <c r="AN48" s="54"/>
      <c r="AO48" s="72" t="s">
        <v>43</v>
      </c>
      <c r="AP48" s="39">
        <v>0</v>
      </c>
      <c r="AQ48" s="39" t="s">
        <v>44</v>
      </c>
      <c r="AR48" s="73"/>
      <c r="AS48" s="87">
        <f t="shared" ref="AS48:AW48" si="52">3*(1/0.9/29.306*(1-2476/3530)*1000-40)</f>
        <v>-86.0384028975751</v>
      </c>
      <c r="AT48" s="73"/>
      <c r="AU48" s="87">
        <f t="shared" si="52"/>
        <v>-86.0384028975751</v>
      </c>
      <c r="AV48" s="73"/>
      <c r="AW48" s="87">
        <f t="shared" si="52"/>
        <v>-86.0384028975751</v>
      </c>
    </row>
    <row r="49" customFormat="1" spans="1:49">
      <c r="A49" s="57"/>
      <c r="B49" s="57" t="s">
        <v>46</v>
      </c>
      <c r="C49" s="57"/>
      <c r="D49" s="57">
        <v>1</v>
      </c>
      <c r="E49" s="75" t="s">
        <v>36</v>
      </c>
      <c r="F49" s="66"/>
      <c r="G49" s="69">
        <f>G38*G39*G41*G42*G45</f>
        <v>1.00701223013766</v>
      </c>
      <c r="H49" s="66"/>
      <c r="I49" s="69">
        <f>I38*I39*I41*I42*I45</f>
        <v>0.991627700052909</v>
      </c>
      <c r="J49" s="66"/>
      <c r="K49" s="69" t="e">
        <f>K38*K39*K41*K42*K45*K46</f>
        <v>#DIV/0!</v>
      </c>
      <c r="L49" s="66"/>
      <c r="M49" s="69">
        <f>M38*M39*M41*M42*M45</f>
        <v>1.61432768478058</v>
      </c>
      <c r="N49" s="66"/>
      <c r="O49" s="69">
        <f>O38*O39*O41*O42*O45</f>
        <v>0.990560589438919</v>
      </c>
      <c r="W49" s="57"/>
      <c r="X49" s="57" t="s">
        <v>46</v>
      </c>
      <c r="Y49" s="57"/>
      <c r="Z49" s="57">
        <v>1</v>
      </c>
      <c r="AA49" s="75" t="s">
        <v>36</v>
      </c>
      <c r="AB49" s="66"/>
      <c r="AC49" s="56">
        <f t="shared" ref="AC49:AG49" si="53">AC38*AC39*AC41*AC45</f>
        <v>0.991255895447686</v>
      </c>
      <c r="AD49" s="66"/>
      <c r="AE49" s="56">
        <f t="shared" si="53"/>
        <v>1.01952101027281</v>
      </c>
      <c r="AF49" s="66"/>
      <c r="AG49" s="56">
        <f t="shared" si="53"/>
        <v>1.06256061379406</v>
      </c>
      <c r="AH49" s="66"/>
      <c r="AI49" s="56">
        <f>AI38*AI39*AI41*AI45</f>
        <v>1.06529445915856</v>
      </c>
      <c r="AJ49" s="66"/>
      <c r="AK49" s="56">
        <f>AK38*AK39*AK41*AK45</f>
        <v>1.02137921942818</v>
      </c>
      <c r="AM49" s="39"/>
      <c r="AN49" s="47"/>
      <c r="AO49" s="39" t="s">
        <v>45</v>
      </c>
      <c r="AP49" s="39">
        <v>0</v>
      </c>
      <c r="AQ49" s="39" t="s">
        <v>44</v>
      </c>
      <c r="AR49" s="73">
        <v>0</v>
      </c>
      <c r="AS49" s="87">
        <f t="shared" ref="AS49:AW49" si="54">3.5*(1/0.9/29.306*(1-2476/3605)*1000-40)</f>
        <v>-98.4417106525638</v>
      </c>
      <c r="AT49" s="73">
        <f>43*24*15/20</f>
        <v>774</v>
      </c>
      <c r="AU49" s="87">
        <f t="shared" si="54"/>
        <v>-98.4417106525638</v>
      </c>
      <c r="AV49" s="73">
        <f>43*24</f>
        <v>1032</v>
      </c>
      <c r="AW49" s="87">
        <f t="shared" si="54"/>
        <v>-98.4417106525638</v>
      </c>
    </row>
    <row r="50" customFormat="1" spans="1:49">
      <c r="A50" s="57"/>
      <c r="B50" s="57" t="s">
        <v>47</v>
      </c>
      <c r="C50" s="57"/>
      <c r="D50" s="57">
        <v>336</v>
      </c>
      <c r="E50" s="75" t="s">
        <v>48</v>
      </c>
      <c r="F50" s="73">
        <f>(D50*G49*F43*10000/F44+(F46*G46+F47*G47+F48*G48)*1000)/(F43/F44)/10000+100*100/F43+600*100/F43</f>
        <v>344.268730915093</v>
      </c>
      <c r="G50" s="73"/>
      <c r="H50" s="73">
        <f>(D50*I49*H43*10000/H44+(H46*I46+H47*I47+H48*I48)*1000)/(H43/H44)/10000+100*100/H43</f>
        <v>320.237626739989</v>
      </c>
      <c r="I50" s="73"/>
      <c r="J50" s="73">
        <v>0</v>
      </c>
      <c r="K50" s="73"/>
      <c r="L50" s="66">
        <f>D50*M49+2*600*100/L43+(L46*M46+L47*M47+L48*M48)/24+100*100/L43</f>
        <v>5865.9194255916</v>
      </c>
      <c r="M50" s="66"/>
      <c r="N50" s="73">
        <f>D50*O49+(N46*O46+N47*O47+N48*O48)/24</f>
        <v>332.828358051477</v>
      </c>
      <c r="O50" s="73"/>
      <c r="W50" s="57"/>
      <c r="X50" s="57" t="s">
        <v>47</v>
      </c>
      <c r="Y50" s="57"/>
      <c r="Z50" s="57">
        <v>325.13</v>
      </c>
      <c r="AA50" s="75" t="s">
        <v>48</v>
      </c>
      <c r="AB50" s="73">
        <f>Z50*AC49+(AB46*AC46+AB47*AC47+AB48*AC48)/24</f>
        <v>322.287029286906</v>
      </c>
      <c r="AC50" s="73"/>
      <c r="AD50" s="73">
        <f>Z50*AE49+(AD46*AE46+AD47*AE47+AD48*AE48)/24</f>
        <v>331.47686607</v>
      </c>
      <c r="AE50" s="73"/>
      <c r="AF50" s="73">
        <f>Z50*AG49+(AF46*AG46+AF47*AG47+AF48*AG48)/24</f>
        <v>345.470332362863</v>
      </c>
      <c r="AG50" s="73"/>
      <c r="AH50" s="73">
        <f>Z50*AI49+(AH46*AI46+AH47*AI47+AH48*AI48)/24</f>
        <v>346.359187506222</v>
      </c>
      <c r="AI50" s="73"/>
      <c r="AJ50" s="73">
        <f>Z50*AK49+(AJ46*AK46+AJ47*AK47+AJ48*AK48)/24</f>
        <v>332.081025612686</v>
      </c>
      <c r="AK50" s="73"/>
      <c r="AM50" s="39"/>
      <c r="AN50" s="41" t="s">
        <v>46</v>
      </c>
      <c r="AO50" s="39"/>
      <c r="AP50" s="39">
        <v>1</v>
      </c>
      <c r="AQ50" s="76" t="s">
        <v>36</v>
      </c>
      <c r="AR50" s="73"/>
      <c r="AS50" s="56">
        <f t="shared" ref="AS50:AW50" si="55">AS38*AS39*AS41*AS42*AS46</f>
        <v>1.03153985025775</v>
      </c>
      <c r="AT50" s="73"/>
      <c r="AU50" s="56">
        <f t="shared" si="55"/>
        <v>1.00753408904671</v>
      </c>
      <c r="AV50" s="73"/>
      <c r="AW50" s="56">
        <f t="shared" si="55"/>
        <v>0.990280603921515</v>
      </c>
    </row>
    <row r="51" customFormat="1" spans="1:49">
      <c r="A51" s="77" t="s">
        <v>49</v>
      </c>
      <c r="B51" s="77" t="s">
        <v>31</v>
      </c>
      <c r="C51" s="77"/>
      <c r="D51" s="77" t="s">
        <v>50</v>
      </c>
      <c r="E51" s="78"/>
      <c r="F51" s="77">
        <v>19357.404</v>
      </c>
      <c r="G51" s="77"/>
      <c r="H51" s="77">
        <v>11958.056</v>
      </c>
      <c r="I51" s="77"/>
      <c r="J51" s="77">
        <v>20132.64</v>
      </c>
      <c r="K51" s="77"/>
      <c r="L51" s="77">
        <v>19793.4</v>
      </c>
      <c r="M51" s="77"/>
      <c r="N51" s="77">
        <v>1351.68</v>
      </c>
      <c r="O51" s="77"/>
      <c r="W51" s="77" t="s">
        <v>49</v>
      </c>
      <c r="X51" s="77" t="s">
        <v>31</v>
      </c>
      <c r="Y51" s="77"/>
      <c r="Z51" s="77" t="s">
        <v>50</v>
      </c>
      <c r="AA51" s="78"/>
      <c r="AB51" s="77">
        <v>1351.68</v>
      </c>
      <c r="AC51" s="77"/>
      <c r="AD51" s="77">
        <v>359.04</v>
      </c>
      <c r="AE51" s="77"/>
      <c r="AF51" s="77">
        <v>18313.68</v>
      </c>
      <c r="AG51" s="77"/>
      <c r="AH51" s="77">
        <v>19112.94</v>
      </c>
      <c r="AI51" s="77"/>
      <c r="AJ51" s="77">
        <v>18645.66</v>
      </c>
      <c r="AK51" s="77"/>
      <c r="AM51" s="39"/>
      <c r="AN51" s="41" t="s">
        <v>47</v>
      </c>
      <c r="AO51" s="39"/>
      <c r="AP51" s="39">
        <v>325.13</v>
      </c>
      <c r="AQ51" s="76" t="s">
        <v>48</v>
      </c>
      <c r="AR51" s="73">
        <f>AP51*AS50+(AR47*AS47+AR48*3*AS48+AR49*AS49)/24</f>
        <v>335.384551514302</v>
      </c>
      <c r="AS51" s="73"/>
      <c r="AT51" s="73">
        <f>AP51*AU50+(AT47*AU47+AT48*AU48+AT49*AU49)/24</f>
        <v>-2847.16561017343</v>
      </c>
      <c r="AU51" s="73"/>
      <c r="AV51" s="73">
        <f>AP51*AW50+(AV47*AW47+AV48*AW48+AV49*AW49)/24</f>
        <v>-3911.02362530724</v>
      </c>
      <c r="AW51" s="73"/>
    </row>
    <row r="52" customFormat="1" spans="1:49">
      <c r="A52" s="77"/>
      <c r="B52" s="77" t="s">
        <v>35</v>
      </c>
      <c r="C52" s="77"/>
      <c r="D52" s="78"/>
      <c r="E52" s="78" t="s">
        <v>51</v>
      </c>
      <c r="F52" s="78">
        <f t="shared" ref="F52:J52" si="56">G52/24</f>
        <v>31</v>
      </c>
      <c r="G52" s="78">
        <v>744</v>
      </c>
      <c r="H52" s="78">
        <f t="shared" si="56"/>
        <v>20.1525</v>
      </c>
      <c r="I52" s="78">
        <v>483.66</v>
      </c>
      <c r="J52" s="78">
        <f t="shared" si="56"/>
        <v>31</v>
      </c>
      <c r="K52" s="78">
        <v>744</v>
      </c>
      <c r="L52" s="78">
        <f>M52/24</f>
        <v>30</v>
      </c>
      <c r="M52" s="78">
        <v>720</v>
      </c>
      <c r="N52" s="78">
        <f>O52/24</f>
        <v>2.4025</v>
      </c>
      <c r="O52" s="78">
        <v>57.66</v>
      </c>
      <c r="W52" s="77"/>
      <c r="X52" s="77" t="s">
        <v>35</v>
      </c>
      <c r="Y52" s="77"/>
      <c r="Z52" s="78"/>
      <c r="AA52" s="78" t="s">
        <v>51</v>
      </c>
      <c r="AB52" s="78">
        <f t="shared" ref="AB52:AF52" si="57">AC52/24</f>
        <v>2.4025</v>
      </c>
      <c r="AC52" s="78">
        <v>57.66</v>
      </c>
      <c r="AD52" s="78">
        <f t="shared" si="57"/>
        <v>1.99041666666667</v>
      </c>
      <c r="AE52" s="78">
        <v>47.77</v>
      </c>
      <c r="AF52" s="78">
        <f t="shared" si="57"/>
        <v>30.41</v>
      </c>
      <c r="AG52" s="78">
        <v>729.84</v>
      </c>
      <c r="AH52" s="78">
        <f>AI52/24</f>
        <v>31</v>
      </c>
      <c r="AI52" s="78">
        <v>744</v>
      </c>
      <c r="AJ52" s="78">
        <f>AK52/24</f>
        <v>30</v>
      </c>
      <c r="AK52" s="78">
        <v>720</v>
      </c>
      <c r="AM52" s="39"/>
      <c r="AN52" s="40" t="s">
        <v>52</v>
      </c>
      <c r="AO52" s="41"/>
      <c r="AP52" s="42"/>
      <c r="AQ52" s="79"/>
      <c r="AR52" s="39"/>
      <c r="AS52" s="39"/>
      <c r="AT52" s="39"/>
      <c r="AU52" s="39"/>
      <c r="AV52" s="39"/>
      <c r="AW52" s="39"/>
    </row>
    <row r="53" customFormat="1" spans="1:49">
      <c r="A53" s="77"/>
      <c r="B53" s="77" t="s">
        <v>37</v>
      </c>
      <c r="C53" s="77"/>
      <c r="D53" s="80">
        <v>1</v>
      </c>
      <c r="E53" s="77" t="s">
        <v>36</v>
      </c>
      <c r="F53" s="80">
        <f t="shared" ref="F53:J53" si="58">F51/F52/24/30</f>
        <v>0.867267204301075</v>
      </c>
      <c r="G53" s="81">
        <f t="shared" ref="G53:K53" si="59">7.254-0.633*(1-EXP(-F53*100/29.822))-5.643*(1-EXP(-F53*100/6.871))</f>
        <v>1.01256575077938</v>
      </c>
      <c r="H53" s="80">
        <f t="shared" si="58"/>
        <v>0.824136514631491</v>
      </c>
      <c r="I53" s="81">
        <f t="shared" si="59"/>
        <v>1.01795783513349</v>
      </c>
      <c r="J53" s="80">
        <f t="shared" si="58"/>
        <v>0.902</v>
      </c>
      <c r="K53" s="81">
        <f t="shared" si="59"/>
        <v>1.00876023421467</v>
      </c>
      <c r="L53" s="80">
        <f>L51/L52/24/30</f>
        <v>0.916361111111111</v>
      </c>
      <c r="M53" s="81">
        <f>7.254-0.633*(1-EXP(-L53*100/29.822))-5.643*(1-EXP(-L53*100/6.871))</f>
        <v>1.00731245267911</v>
      </c>
      <c r="N53" s="80">
        <f>N51/N52/24/30</f>
        <v>0.781408255289629</v>
      </c>
      <c r="O53" s="81">
        <f>7.254-0.633*(1-EXP(-N53*100/29.822))-5.643*(1-EXP(-N53*100/6.871))</f>
        <v>1.02413804364369</v>
      </c>
      <c r="W53" s="77"/>
      <c r="X53" s="77" t="s">
        <v>37</v>
      </c>
      <c r="Y53" s="77"/>
      <c r="Z53" s="80">
        <v>1</v>
      </c>
      <c r="AA53" s="77" t="s">
        <v>36</v>
      </c>
      <c r="AB53" s="80">
        <f t="shared" ref="AB53:AF53" si="60">AB51/AB52/24/30</f>
        <v>0.781408255289629</v>
      </c>
      <c r="AC53" s="81">
        <f t="shared" ref="AC53:AG53" si="61">7.254-0.633*(1-EXP(-AB53*100/29.822))-5.643*(1-EXP(-AB53*100/6.871))</f>
        <v>1.02413804364369</v>
      </c>
      <c r="AD53" s="80">
        <f t="shared" si="60"/>
        <v>0.250533807829181</v>
      </c>
      <c r="AE53" s="81">
        <f t="shared" si="61"/>
        <v>1.39846522200427</v>
      </c>
      <c r="AF53" s="80">
        <f t="shared" si="60"/>
        <v>0.836424421791078</v>
      </c>
      <c r="AG53" s="81">
        <f t="shared" si="61"/>
        <v>1.01634056237641</v>
      </c>
      <c r="AH53" s="80">
        <f>AH51/AH52/24/30</f>
        <v>0.856314516129032</v>
      </c>
      <c r="AI53" s="81">
        <f>7.254-0.633*(1-EXP(-AH53*100/29.822))-5.643*(1-EXP(-AH53*100/6.871))</f>
        <v>1.0138613630663</v>
      </c>
      <c r="AJ53" s="80">
        <f>AJ51/AJ52/24/30</f>
        <v>0.863225</v>
      </c>
      <c r="AK53" s="81">
        <f>7.254-0.633*(1-EXP(-AJ53*100/29.822))-5.643*(1-EXP(-AJ53*100/6.871))</f>
        <v>1.01303833351642</v>
      </c>
      <c r="AM53" s="39" t="s">
        <v>49</v>
      </c>
      <c r="AN53" s="39" t="s">
        <v>31</v>
      </c>
      <c r="AO53" s="39"/>
      <c r="AP53" s="42" t="s">
        <v>50</v>
      </c>
      <c r="AQ53" s="79"/>
      <c r="AR53" s="39">
        <f>36018.528/2</f>
        <v>18009.264</v>
      </c>
      <c r="AS53" s="39"/>
      <c r="AT53" s="39">
        <f>29486.88/50*30</f>
        <v>17692.128</v>
      </c>
      <c r="AU53" s="39"/>
      <c r="AV53" s="39">
        <f>35325.864/2</f>
        <v>17662.932</v>
      </c>
      <c r="AW53" s="39"/>
    </row>
    <row r="54" customFormat="1" spans="1:49">
      <c r="A54" s="77"/>
      <c r="B54" s="77" t="s">
        <v>39</v>
      </c>
      <c r="C54" s="78" t="s">
        <v>40</v>
      </c>
      <c r="D54" s="77">
        <v>0</v>
      </c>
      <c r="E54" s="77" t="s">
        <v>41</v>
      </c>
      <c r="F54" s="82">
        <v>6807</v>
      </c>
      <c r="G54" s="87">
        <f>-(40-1/0.9/29.306*(1-2532/3103)*1000)</f>
        <v>-33.0232159928925</v>
      </c>
      <c r="H54" s="82">
        <v>3584.89285714286</v>
      </c>
      <c r="I54" s="87">
        <f t="shared" ref="G54:K54" si="62">-(40-1/0.9/29.306*(1-2476/3103)*1000)</f>
        <v>-32.3389779816875</v>
      </c>
      <c r="J54" s="82">
        <v>4864.75714285714</v>
      </c>
      <c r="K54" s="87">
        <f t="shared" si="62"/>
        <v>-32.3389779816875</v>
      </c>
      <c r="L54" s="84"/>
      <c r="M54" s="87">
        <f>-(40-1/0.9/29.306*(1-2476/3103)*1000)</f>
        <v>-32.3389779816875</v>
      </c>
      <c r="N54" s="84"/>
      <c r="O54" s="87">
        <f>-(40-1/0.9/29.306*(1-2476/3103)*1000)</f>
        <v>-32.3389779816875</v>
      </c>
      <c r="W54" s="77"/>
      <c r="X54" s="77" t="s">
        <v>39</v>
      </c>
      <c r="Y54" s="78" t="s">
        <v>40</v>
      </c>
      <c r="Z54" s="77">
        <v>0</v>
      </c>
      <c r="AA54" s="77" t="s">
        <v>41</v>
      </c>
      <c r="AB54" s="66"/>
      <c r="AC54" s="87">
        <f t="shared" ref="AC54:AG54" si="63">-(40-1/0.9/29.306*(1-2476/3103)*1000)</f>
        <v>-32.3389779816875</v>
      </c>
      <c r="AD54" s="66"/>
      <c r="AE54" s="87">
        <f t="shared" si="63"/>
        <v>-32.3389779816875</v>
      </c>
      <c r="AF54" s="66"/>
      <c r="AG54" s="87">
        <f t="shared" si="63"/>
        <v>-32.3389779816875</v>
      </c>
      <c r="AH54" s="66"/>
      <c r="AI54" s="87">
        <f>-(40-1/0.9/29.306*(1-2476/3103)*1000)</f>
        <v>-32.3389779816875</v>
      </c>
      <c r="AJ54" s="66"/>
      <c r="AK54" s="87">
        <f>-(40-1/0.9/29.306*(1-2476/3103)*1000)</f>
        <v>-32.3389779816875</v>
      </c>
      <c r="AM54" s="39"/>
      <c r="AN54" s="59" t="s">
        <v>35</v>
      </c>
      <c r="AO54" s="47"/>
      <c r="AP54" s="72"/>
      <c r="AQ54" s="72" t="s">
        <v>51</v>
      </c>
      <c r="AR54" s="60">
        <v>31</v>
      </c>
      <c r="AS54" s="47"/>
      <c r="AT54" s="60">
        <v>30</v>
      </c>
      <c r="AU54" s="47"/>
      <c r="AV54" s="60">
        <v>31</v>
      </c>
      <c r="AW54" s="47"/>
    </row>
    <row r="55" customFormat="1" spans="1:49">
      <c r="A55" s="77"/>
      <c r="B55" s="77" t="s">
        <v>46</v>
      </c>
      <c r="C55" s="77"/>
      <c r="D55" s="77">
        <v>1</v>
      </c>
      <c r="E55" s="85" t="s">
        <v>36</v>
      </c>
      <c r="F55" s="84"/>
      <c r="G55" s="83">
        <f t="shared" ref="G55:K55" si="64">G38*G39*G41*G42*G53</f>
        <v>0.971891928238277</v>
      </c>
      <c r="H55" s="84"/>
      <c r="I55" s="83">
        <f t="shared" si="64"/>
        <v>0.976224695067285</v>
      </c>
      <c r="J55" s="84"/>
      <c r="K55" s="83">
        <f t="shared" si="64"/>
        <v>0.972210782024079</v>
      </c>
      <c r="L55" s="84"/>
      <c r="M55" s="83">
        <f>M38*M39*M41*M42*M53</f>
        <v>0.978844114543044</v>
      </c>
      <c r="N55" s="84"/>
      <c r="O55" s="83">
        <f>O38*O39*O41*O42*O53</f>
        <v>1.01101212958022</v>
      </c>
      <c r="W55" s="77"/>
      <c r="X55" s="77" t="s">
        <v>46</v>
      </c>
      <c r="Y55" s="77"/>
      <c r="Z55" s="77">
        <v>1</v>
      </c>
      <c r="AA55" s="85" t="s">
        <v>36</v>
      </c>
      <c r="AB55" s="84"/>
      <c r="AC55" s="83">
        <f t="shared" ref="AC55:AG55" si="65">AC38*AC39*AC41*AC42*AC53</f>
        <v>1.01010798335723</v>
      </c>
      <c r="AD55" s="84"/>
      <c r="AE55" s="83">
        <f t="shared" si="65"/>
        <v>1.42396499206185</v>
      </c>
      <c r="AF55" s="84"/>
      <c r="AG55" s="83">
        <f t="shared" si="65"/>
        <v>1.06650431723953</v>
      </c>
      <c r="AH55" s="84"/>
      <c r="AI55" s="83">
        <f>AI38*AI39*AI41*AI42*AI53</f>
        <v>1.07511766488534</v>
      </c>
      <c r="AJ55" s="84"/>
      <c r="AK55" s="83">
        <f>AK38*AK39*AK41*AK42*AK53</f>
        <v>1.02819315709002</v>
      </c>
      <c r="AM55" s="39"/>
      <c r="AN55" s="59" t="s">
        <v>38</v>
      </c>
      <c r="AO55" s="47"/>
      <c r="AP55" s="63"/>
      <c r="AQ55" s="39"/>
      <c r="AR55" s="64"/>
      <c r="AS55" s="65"/>
      <c r="AT55" s="64"/>
      <c r="AU55" s="65"/>
      <c r="AV55" s="64"/>
      <c r="AW55" s="65"/>
    </row>
    <row r="56" customFormat="1" spans="1:49">
      <c r="A56" s="77"/>
      <c r="B56" s="77" t="s">
        <v>47</v>
      </c>
      <c r="C56" s="77"/>
      <c r="D56" s="77">
        <v>339</v>
      </c>
      <c r="E56" s="85" t="s">
        <v>48</v>
      </c>
      <c r="F56" s="56">
        <f>(D56*G55*F51*10000/F52+(F54*G54)*1000)/(F51/F52)/10000</f>
        <v>293.472425131367</v>
      </c>
      <c r="G56" s="56"/>
      <c r="H56" s="84">
        <f>(D56*I55*H51*10000/H52+(H54*I54)*1000)/(H51/H52)/10000+600*100/H51+100*100/H43</f>
        <v>317.446791942955</v>
      </c>
      <c r="I56" s="84"/>
      <c r="J56" s="73">
        <f>(D56*K55*J51*10000/J52+(J54*K54)*1000)/(J51/J52)/10000</f>
        <v>305.355312132352</v>
      </c>
      <c r="K56" s="73"/>
      <c r="L56" s="84">
        <f>339*M55+L54*M54/24</f>
        <v>331.828154830092</v>
      </c>
      <c r="M56" s="84"/>
      <c r="N56" s="84">
        <f>D56*O55+100*100/N51+N54*O54/24</f>
        <v>350.131312685272</v>
      </c>
      <c r="O56" s="84"/>
      <c r="W56" s="77"/>
      <c r="X56" s="77" t="s">
        <v>47</v>
      </c>
      <c r="Y56" s="77"/>
      <c r="Z56" s="77">
        <v>325.13</v>
      </c>
      <c r="AA56" s="85" t="s">
        <v>48</v>
      </c>
      <c r="AB56" s="84">
        <f>339*AC55+100*100/AB51+AB54*AC54/24</f>
        <v>349.824807115676</v>
      </c>
      <c r="AC56" s="84"/>
      <c r="AD56" s="84">
        <f>Z56*AE55+2*600*100/AD51+100*100/AD51+AD54*AE54/24</f>
        <v>825.050386710425</v>
      </c>
      <c r="AE56" s="84"/>
      <c r="AF56" s="84">
        <f>Z56*AG55+2*600*100/AF51+2*100*100/AF51+AF54*AG54/24</f>
        <v>354.397107267273</v>
      </c>
      <c r="AG56" s="84"/>
      <c r="AH56" s="84">
        <f>Z56*AI55+AH54*AI54/24</f>
        <v>349.553006384172</v>
      </c>
      <c r="AI56" s="84"/>
      <c r="AJ56" s="84">
        <f>Z56*AK55+AJ54*AK54/24</f>
        <v>334.296441164677</v>
      </c>
      <c r="AK56" s="84"/>
      <c r="AM56" s="39"/>
      <c r="AN56" s="41" t="s">
        <v>37</v>
      </c>
      <c r="AO56" s="39"/>
      <c r="AP56" s="63">
        <v>1</v>
      </c>
      <c r="AQ56" s="39" t="s">
        <v>36</v>
      </c>
      <c r="AR56" s="70">
        <f t="shared" ref="AR56:AV56" si="66">AR53/AR54/24/30</f>
        <v>0.806866666666667</v>
      </c>
      <c r="AS56" s="2">
        <f t="shared" ref="AS56:AW56" si="67">7.254-0.633*(1-EXP(-AR56*100/29.822))-5.643*(1-EXP(-AR56*100/6.871))</f>
        <v>1.02034798036679</v>
      </c>
      <c r="AT56" s="70">
        <f t="shared" si="66"/>
        <v>0.81908</v>
      </c>
      <c r="AU56" s="2">
        <f t="shared" si="67"/>
        <v>1.01864318912669</v>
      </c>
      <c r="AV56" s="70">
        <f t="shared" si="66"/>
        <v>0.79135</v>
      </c>
      <c r="AW56" s="2">
        <f t="shared" si="67"/>
        <v>1.02261867905137</v>
      </c>
    </row>
    <row r="57" customFormat="1" spans="1:49">
      <c r="A57" s="43" t="s">
        <v>53</v>
      </c>
      <c r="B57" s="39" t="s">
        <v>54</v>
      </c>
      <c r="C57" s="39"/>
      <c r="D57" s="39" t="s">
        <v>36</v>
      </c>
      <c r="E57" s="76" t="s">
        <v>48</v>
      </c>
      <c r="F57" s="73">
        <f>(F56*F51+F50*F43)/(F43+F51)</f>
        <v>312.749646496377</v>
      </c>
      <c r="G57" s="73"/>
      <c r="H57" s="73">
        <f t="shared" ref="H57:L57" si="68">(H56*H51+H50*H43)/(H43+H51)</f>
        <v>318.699584431598</v>
      </c>
      <c r="I57" s="73"/>
      <c r="J57" s="73">
        <f t="shared" si="68"/>
        <v>305.355312132352</v>
      </c>
      <c r="K57" s="73"/>
      <c r="L57" s="73">
        <f t="shared" si="68"/>
        <v>338.647396746307</v>
      </c>
      <c r="M57" s="73"/>
      <c r="N57" s="73">
        <f>(N56*N51+N50*N43)/(N43+N51)</f>
        <v>333.856306042368</v>
      </c>
      <c r="O57" s="73"/>
      <c r="W57" s="43" t="s">
        <v>53</v>
      </c>
      <c r="X57" s="39" t="s">
        <v>54</v>
      </c>
      <c r="Y57" s="39"/>
      <c r="Z57" s="39" t="s">
        <v>36</v>
      </c>
      <c r="AA57" s="76" t="s">
        <v>48</v>
      </c>
      <c r="AB57" s="73">
        <f t="shared" ref="AB57:AF57" si="69">(AB56*AB51+AB50*AB43)/(AB43+AB51)</f>
        <v>323.923015971944</v>
      </c>
      <c r="AC57" s="73"/>
      <c r="AD57" s="73">
        <f t="shared" si="69"/>
        <v>339.551931338064</v>
      </c>
      <c r="AE57" s="73"/>
      <c r="AF57" s="73">
        <f t="shared" si="69"/>
        <v>349.789352956185</v>
      </c>
      <c r="AG57" s="73"/>
      <c r="AH57" s="73">
        <f>(AH56*AH51+AH50*AH43)/(AH43+AH51)</f>
        <v>347.863918591481</v>
      </c>
      <c r="AI57" s="73"/>
      <c r="AJ57" s="73">
        <f>(AJ56*AJ51+AJ50*AJ43)/(AJ43+AJ51)</f>
        <v>333.143310563962</v>
      </c>
      <c r="AK57" s="73"/>
      <c r="AM57" s="39"/>
      <c r="AN57" s="41" t="s">
        <v>39</v>
      </c>
      <c r="AO57" s="72" t="s">
        <v>40</v>
      </c>
      <c r="AP57" s="39">
        <v>0</v>
      </c>
      <c r="AQ57" s="39" t="s">
        <v>41</v>
      </c>
      <c r="AR57" s="73"/>
      <c r="AS57" s="87">
        <f t="shared" ref="AS57:AW57" si="70">-(40-1/0.9/29.306*(1-2476/3103)*1000)</f>
        <v>-32.3389779816875</v>
      </c>
      <c r="AT57" s="73"/>
      <c r="AU57" s="87">
        <f t="shared" si="70"/>
        <v>-32.3389779816875</v>
      </c>
      <c r="AV57" s="73"/>
      <c r="AW57" s="87">
        <f t="shared" si="70"/>
        <v>-32.3389779816875</v>
      </c>
    </row>
    <row r="58" customFormat="1" spans="1:49">
      <c r="A58" s="43"/>
      <c r="B58" s="39" t="s">
        <v>55</v>
      </c>
      <c r="C58" s="39"/>
      <c r="D58" s="43"/>
      <c r="E58" s="43"/>
      <c r="F58" s="43">
        <v>1</v>
      </c>
      <c r="G58" s="43">
        <v>1</v>
      </c>
      <c r="H58" s="43">
        <v>0</v>
      </c>
      <c r="I58" s="43">
        <v>1</v>
      </c>
      <c r="J58" s="43">
        <v>0</v>
      </c>
      <c r="K58" s="43">
        <v>0</v>
      </c>
      <c r="L58" s="43">
        <v>2</v>
      </c>
      <c r="M58" s="43">
        <v>1</v>
      </c>
      <c r="N58" s="43">
        <v>0</v>
      </c>
      <c r="O58" s="43">
        <v>0</v>
      </c>
      <c r="W58" s="43"/>
      <c r="X58" s="39" t="s">
        <v>55</v>
      </c>
      <c r="Y58" s="39"/>
      <c r="Z58" s="43"/>
      <c r="AA58" s="43"/>
      <c r="AB58" s="43">
        <v>0</v>
      </c>
      <c r="AC58" s="43">
        <v>0</v>
      </c>
      <c r="AD58" s="43">
        <v>0</v>
      </c>
      <c r="AE58" s="43">
        <v>0</v>
      </c>
      <c r="AF58" s="43">
        <v>0</v>
      </c>
      <c r="AG58" s="43">
        <v>0</v>
      </c>
      <c r="AH58" s="43">
        <v>0</v>
      </c>
      <c r="AI58" s="43">
        <v>0</v>
      </c>
      <c r="AJ58" s="43">
        <v>0</v>
      </c>
      <c r="AK58" s="43">
        <v>0</v>
      </c>
      <c r="AM58" s="39"/>
      <c r="AN58" s="41" t="s">
        <v>46</v>
      </c>
      <c r="AO58" s="39"/>
      <c r="AP58" s="39">
        <v>1</v>
      </c>
      <c r="AQ58" s="76" t="s">
        <v>36</v>
      </c>
      <c r="AR58" s="73"/>
      <c r="AS58" s="56">
        <f t="shared" ref="AS58:AW58" si="71">AS38*AS39*AS41*AS42*AS56</f>
        <v>1.03153985025775</v>
      </c>
      <c r="AT58" s="73"/>
      <c r="AU58" s="56">
        <f t="shared" si="71"/>
        <v>1.00753408904671</v>
      </c>
      <c r="AV58" s="73"/>
      <c r="AW58" s="56">
        <f t="shared" si="71"/>
        <v>0.990280603921515</v>
      </c>
    </row>
    <row r="59" customFormat="1" spans="1:49">
      <c r="A59" s="43"/>
      <c r="B59" s="39" t="s">
        <v>56</v>
      </c>
      <c r="C59" s="39"/>
      <c r="D59" s="43"/>
      <c r="E59" s="43"/>
      <c r="F59" s="43">
        <v>0</v>
      </c>
      <c r="G59" s="43">
        <v>0</v>
      </c>
      <c r="H59" s="43">
        <v>1</v>
      </c>
      <c r="I59" s="43">
        <v>1</v>
      </c>
      <c r="J59" s="43">
        <v>0</v>
      </c>
      <c r="K59" s="43">
        <v>0</v>
      </c>
      <c r="L59" s="43">
        <v>0</v>
      </c>
      <c r="M59" s="43">
        <v>0</v>
      </c>
      <c r="N59" s="43">
        <v>0</v>
      </c>
      <c r="O59" s="43">
        <v>1</v>
      </c>
      <c r="W59" s="43"/>
      <c r="X59" s="39" t="s">
        <v>56</v>
      </c>
      <c r="Y59" s="39"/>
      <c r="Z59" s="43"/>
      <c r="AA59" s="43"/>
      <c r="AB59" s="43">
        <v>0</v>
      </c>
      <c r="AC59" s="43">
        <v>1</v>
      </c>
      <c r="AD59" s="43">
        <v>2</v>
      </c>
      <c r="AE59" s="43">
        <v>1</v>
      </c>
      <c r="AF59" s="43">
        <v>2</v>
      </c>
      <c r="AG59" s="43">
        <v>2</v>
      </c>
      <c r="AH59" s="43">
        <v>0</v>
      </c>
      <c r="AI59" s="43">
        <v>0</v>
      </c>
      <c r="AJ59" s="43">
        <v>0</v>
      </c>
      <c r="AK59" s="43">
        <v>0</v>
      </c>
      <c r="AM59" s="39"/>
      <c r="AN59" s="41" t="s">
        <v>47</v>
      </c>
      <c r="AO59" s="39"/>
      <c r="AP59" s="39">
        <v>325.13</v>
      </c>
      <c r="AQ59" s="76" t="s">
        <v>48</v>
      </c>
      <c r="AR59" s="73">
        <f>AP59*AS58+AR57*AS57/24</f>
        <v>335.384551514302</v>
      </c>
      <c r="AS59" s="73"/>
      <c r="AT59" s="73">
        <f>AP59*AU58+AT57*AU57/24</f>
        <v>327.579558371756</v>
      </c>
      <c r="AU59" s="73"/>
      <c r="AV59" s="73">
        <f>AP59*AW58+AV57*AW57/24</f>
        <v>321.969932753002</v>
      </c>
      <c r="AW59" s="73"/>
    </row>
    <row r="60" customFormat="1" spans="1:49">
      <c r="A60" s="43"/>
      <c r="B60" s="39" t="s">
        <v>57</v>
      </c>
      <c r="C60" s="39"/>
      <c r="D60" s="39"/>
      <c r="E60" s="39"/>
      <c r="F60" s="97" t="s">
        <v>58</v>
      </c>
      <c r="G60" s="39"/>
      <c r="H60" s="97" t="s">
        <v>59</v>
      </c>
      <c r="I60" s="39"/>
      <c r="J60" s="39">
        <v>0</v>
      </c>
      <c r="K60" s="39"/>
      <c r="L60" s="97" t="s">
        <v>60</v>
      </c>
      <c r="M60" s="39"/>
      <c r="N60" s="97" t="s">
        <v>61</v>
      </c>
      <c r="O60" s="39"/>
      <c r="W60" s="43"/>
      <c r="X60" s="39" t="s">
        <v>57</v>
      </c>
      <c r="Y60" s="39"/>
      <c r="Z60" s="39"/>
      <c r="AA60" s="39"/>
      <c r="AB60" s="97" t="s">
        <v>61</v>
      </c>
      <c r="AC60" s="39"/>
      <c r="AD60" s="98" t="s">
        <v>62</v>
      </c>
      <c r="AE60" s="88"/>
      <c r="AF60" s="97" t="s">
        <v>63</v>
      </c>
      <c r="AG60" s="39"/>
      <c r="AH60" s="97" t="s">
        <v>64</v>
      </c>
      <c r="AI60" s="39"/>
      <c r="AJ60" s="97" t="s">
        <v>65</v>
      </c>
      <c r="AK60" s="39"/>
      <c r="AM60" s="43"/>
      <c r="AN60" s="40" t="s">
        <v>52</v>
      </c>
      <c r="AO60" s="41"/>
      <c r="AP60" s="39"/>
      <c r="AQ60" s="76"/>
      <c r="AR60" s="73"/>
      <c r="AS60" s="73"/>
      <c r="AT60" s="73"/>
      <c r="AU60" s="73"/>
      <c r="AV60" s="73"/>
      <c r="AW60" s="73"/>
    </row>
    <row r="61" customFormat="1" spans="1:49">
      <c r="A61" s="43"/>
      <c r="B61" s="39" t="s">
        <v>66</v>
      </c>
      <c r="C61" s="39"/>
      <c r="D61" s="39"/>
      <c r="E61" s="39"/>
      <c r="F61" s="97" t="s">
        <v>67</v>
      </c>
      <c r="G61" s="39"/>
      <c r="H61" s="97" t="s">
        <v>68</v>
      </c>
      <c r="I61" s="39"/>
      <c r="J61" s="97" t="s">
        <v>69</v>
      </c>
      <c r="K61" s="39"/>
      <c r="L61" s="97" t="s">
        <v>70</v>
      </c>
      <c r="M61" s="39"/>
      <c r="N61" s="98" t="s">
        <v>71</v>
      </c>
      <c r="O61" s="88"/>
      <c r="W61" s="43"/>
      <c r="X61" s="39" t="s">
        <v>66</v>
      </c>
      <c r="Y61" s="39"/>
      <c r="Z61" s="39"/>
      <c r="AA61" s="39"/>
      <c r="AB61" s="97" t="s">
        <v>71</v>
      </c>
      <c r="AC61" s="39"/>
      <c r="AD61" s="88">
        <v>147.2289890017</v>
      </c>
      <c r="AE61" s="88"/>
      <c r="AF61" s="97" t="s">
        <v>72</v>
      </c>
      <c r="AG61" s="39"/>
      <c r="AH61" s="97" t="s">
        <v>73</v>
      </c>
      <c r="AI61" s="39"/>
      <c r="AJ61" s="97" t="s">
        <v>74</v>
      </c>
      <c r="AK61" s="39"/>
      <c r="AM61" s="43" t="s">
        <v>53</v>
      </c>
      <c r="AN61" s="39" t="s">
        <v>54</v>
      </c>
      <c r="AO61" s="39"/>
      <c r="AP61" s="39" t="s">
        <v>36</v>
      </c>
      <c r="AQ61" s="76" t="s">
        <v>48</v>
      </c>
      <c r="AR61" s="73">
        <f t="shared" ref="AR61:AV61" si="72">(AR59*AR56+AR51*AR46)/(AR46+AR56)</f>
        <v>335.384551514302</v>
      </c>
      <c r="AS61" s="73"/>
      <c r="AT61" s="73">
        <f t="shared" si="72"/>
        <v>-1259.79302590084</v>
      </c>
      <c r="AU61" s="73"/>
      <c r="AV61" s="73">
        <f t="shared" si="72"/>
        <v>-1794.52684627712</v>
      </c>
      <c r="AW61" s="73"/>
    </row>
    <row r="62" customFormat="1" spans="1:49">
      <c r="A62" s="43"/>
      <c r="B62" s="39" t="s">
        <v>75</v>
      </c>
      <c r="C62" s="39"/>
      <c r="D62" s="39"/>
      <c r="E62" s="39"/>
      <c r="F62" s="97" t="s">
        <v>76</v>
      </c>
      <c r="G62" s="39"/>
      <c r="H62" s="97" t="s">
        <v>77</v>
      </c>
      <c r="I62" s="39"/>
      <c r="J62" s="97" t="s">
        <v>78</v>
      </c>
      <c r="K62" s="39"/>
      <c r="L62" s="97" t="s">
        <v>79</v>
      </c>
      <c r="M62" s="39"/>
      <c r="N62" s="99" t="s">
        <v>80</v>
      </c>
      <c r="O62" s="89"/>
      <c r="W62" s="43"/>
      <c r="X62" s="39" t="s">
        <v>75</v>
      </c>
      <c r="Y62" s="39"/>
      <c r="Z62" s="39"/>
      <c r="AA62" s="39"/>
      <c r="AB62" s="97" t="s">
        <v>80</v>
      </c>
      <c r="AC62" s="39"/>
      <c r="AD62" s="98" t="s">
        <v>81</v>
      </c>
      <c r="AE62" s="88"/>
      <c r="AF62" s="97" t="s">
        <v>82</v>
      </c>
      <c r="AG62" s="39"/>
      <c r="AH62" s="97" t="s">
        <v>83</v>
      </c>
      <c r="AI62" s="39"/>
      <c r="AJ62" s="97" t="s">
        <v>84</v>
      </c>
      <c r="AK62" s="39"/>
    </row>
    <row r="63" customFormat="1" spans="1:49">
      <c r="B63" s="37" t="s">
        <v>85</v>
      </c>
      <c r="C63" s="37"/>
      <c r="D63" s="39"/>
      <c r="E63" s="39"/>
      <c r="F63" s="97" t="s">
        <v>86</v>
      </c>
      <c r="G63" s="39"/>
      <c r="H63" s="97" t="s">
        <v>87</v>
      </c>
      <c r="I63" s="39"/>
      <c r="J63" s="97" t="s">
        <v>88</v>
      </c>
      <c r="K63" s="39"/>
      <c r="L63" s="39" t="s">
        <v>36</v>
      </c>
      <c r="M63" s="39"/>
      <c r="N63" s="39"/>
      <c r="O63" s="39"/>
      <c r="X63" s="37" t="s">
        <v>85</v>
      </c>
      <c r="Y63" s="37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</row>
    <row r="64" spans="1:49">
      <c r="D64" s="37" t="s">
        <v>89</v>
      </c>
      <c r="F64" s="37">
        <f>(F47*120+F54*40)/1000</f>
        <v>272.28</v>
      </c>
      <c r="G64" s="37"/>
      <c r="H64" s="37">
        <f>(H47*120+H54*40)/1000</f>
        <v>143.395714285714</v>
      </c>
      <c r="I64" s="37"/>
      <c r="J64" s="37">
        <f>(J47*120+J54*40)/1000</f>
        <v>194.590285714286</v>
      </c>
      <c r="K64" s="37"/>
      <c r="L64">
        <f t="shared" ref="L64:L68" si="73">SUM(F64:K64)</f>
        <v>610.266</v>
      </c>
    </row>
    <row r="65" spans="2:19">
      <c r="D65" s="37" t="s">
        <v>90</v>
      </c>
      <c r="F65" s="37">
        <f t="shared" ref="F65:J65" si="74">(F62-F63)*(F43/F44+F51/F52)*10000/1000/1000</f>
        <v>335.756284780314</v>
      </c>
      <c r="G65" s="37"/>
      <c r="H65" s="37">
        <f t="shared" si="74"/>
        <v>381.847739740913</v>
      </c>
      <c r="I65" s="37"/>
      <c r="J65" s="37">
        <f>(J62-J63)*(J51/J52)*10000/1000/1000</f>
        <v>207.090731993327</v>
      </c>
      <c r="K65" s="37"/>
      <c r="L65">
        <f t="shared" si="73"/>
        <v>924.694756514555</v>
      </c>
    </row>
    <row r="66" spans="2:19">
      <c r="D66" s="37" t="s">
        <v>91</v>
      </c>
      <c r="F66" s="37">
        <f t="shared" ref="F66:J66" si="75">(F62)*(F43/F44+F51/F52)*10000/1000/1000</f>
        <v>3959.11057243557</v>
      </c>
      <c r="G66" s="37"/>
      <c r="H66" s="37">
        <f t="shared" si="75"/>
        <v>3955.06073393431</v>
      </c>
      <c r="I66" s="37"/>
      <c r="J66" s="37">
        <f>(J62)*(J51/J52)*10000/1000/1000</f>
        <v>2357.37830747425</v>
      </c>
      <c r="K66" s="37"/>
    </row>
    <row r="67" spans="2:19">
      <c r="D67" s="37" t="s">
        <v>92</v>
      </c>
      <c r="F67" s="37">
        <f t="shared" ref="F67:J67" si="76">F64/F66</f>
        <v>0.0687730223792407</v>
      </c>
      <c r="G67" s="37"/>
      <c r="H67" s="37">
        <f t="shared" si="76"/>
        <v>0.0362562610114639</v>
      </c>
      <c r="I67" s="37"/>
      <c r="J67" s="37">
        <f>J64/J66</f>
        <v>0.0825452092679914</v>
      </c>
      <c r="K67" s="37"/>
      <c r="L67" t="s">
        <v>93</v>
      </c>
    </row>
    <row r="68" spans="2:19">
      <c r="D68" s="37" t="s">
        <v>94</v>
      </c>
      <c r="F68" s="37">
        <f t="shared" ref="F68:J68" si="77">D16*(1-G12)*F9/F10*10000/1000/1000+D22*(1-G20)*F17/F18*10000/1000/1000</f>
        <v>95.8562599267394</v>
      </c>
      <c r="G68" s="37"/>
      <c r="H68" s="37">
        <f t="shared" si="77"/>
        <v>74.5962143297618</v>
      </c>
      <c r="I68" s="37"/>
      <c r="J68" s="37">
        <f>H22*(1-K20)*J17/J18*10000/1000/1000</f>
        <v>60.3810842542152</v>
      </c>
      <c r="K68" s="37"/>
      <c r="L68" s="90">
        <f t="shared" si="73"/>
        <v>230.833558510716</v>
      </c>
    </row>
    <row r="72" spans="2:19">
      <c r="B72" s="91" t="s">
        <v>95</v>
      </c>
      <c r="C72" s="39" t="s">
        <v>96</v>
      </c>
      <c r="D72" s="39"/>
      <c r="E72" s="39" t="s">
        <v>97</v>
      </c>
      <c r="F72" s="39"/>
      <c r="G72" s="39" t="s">
        <v>98</v>
      </c>
      <c r="H72" s="39"/>
      <c r="I72" s="39" t="s">
        <v>99</v>
      </c>
      <c r="J72" s="39"/>
      <c r="K72" s="39" t="s">
        <v>100</v>
      </c>
      <c r="L72" s="39"/>
      <c r="M72" s="39" t="s">
        <v>101</v>
      </c>
      <c r="N72" s="39"/>
      <c r="O72" s="92"/>
      <c r="P72" s="92"/>
      <c r="Q72" s="79"/>
      <c r="R72" s="72"/>
      <c r="S72" s="72"/>
    </row>
    <row r="73" spans="2:19">
      <c r="B73" s="93"/>
      <c r="C73" s="43" t="s">
        <v>102</v>
      </c>
      <c r="D73" s="43" t="s">
        <v>103</v>
      </c>
      <c r="E73" s="43" t="s">
        <v>102</v>
      </c>
      <c r="F73" s="43" t="s">
        <v>103</v>
      </c>
      <c r="G73" s="43" t="s">
        <v>102</v>
      </c>
      <c r="H73" s="43" t="s">
        <v>103</v>
      </c>
      <c r="I73" s="43" t="s">
        <v>102</v>
      </c>
      <c r="J73" s="43" t="s">
        <v>103</v>
      </c>
      <c r="K73" s="43" t="s">
        <v>102</v>
      </c>
      <c r="L73" s="43" t="s">
        <v>103</v>
      </c>
      <c r="M73" s="94" t="s">
        <v>102</v>
      </c>
      <c r="N73" s="94" t="s">
        <v>103</v>
      </c>
      <c r="S73" s="94" t="s">
        <v>103</v>
      </c>
    </row>
    <row r="74" spans="2:19">
      <c r="B74" s="43">
        <v>6807</v>
      </c>
      <c r="C74" s="43">
        <v>296.3985</v>
      </c>
      <c r="D74" s="43">
        <v>316.3546</v>
      </c>
      <c r="E74" s="43">
        <v>294.2183</v>
      </c>
      <c r="F74" s="43">
        <v>314.5529</v>
      </c>
      <c r="G74" s="43">
        <v>292.0381</v>
      </c>
      <c r="H74" s="43">
        <v>312.7696</v>
      </c>
      <c r="I74" s="43">
        <f t="shared" ref="I74:M74" si="78">C74-E74</f>
        <v>2.18020000000001</v>
      </c>
      <c r="J74" s="43">
        <f t="shared" si="78"/>
        <v>1.80169999999998</v>
      </c>
      <c r="K74" s="43">
        <f t="shared" si="78"/>
        <v>2.18020000000001</v>
      </c>
      <c r="L74" s="43">
        <f t="shared" si="78"/>
        <v>1.7833</v>
      </c>
      <c r="M74" s="43">
        <f t="shared" ref="M74:M76" si="79">C74-G74</f>
        <v>4.36040000000003</v>
      </c>
      <c r="N74" s="43">
        <v>312.7696</v>
      </c>
      <c r="S74" s="43">
        <f t="shared" ref="S74:S76" si="80">D74-H74</f>
        <v>3.58499999999998</v>
      </c>
    </row>
    <row r="75" spans="2:19">
      <c r="B75" s="43">
        <v>0</v>
      </c>
      <c r="C75" s="43">
        <v>329.4714</v>
      </c>
      <c r="D75" s="43">
        <v>329.4714</v>
      </c>
      <c r="E75" s="43">
        <v>329.4714</v>
      </c>
      <c r="F75" s="43">
        <v>329.4714</v>
      </c>
      <c r="G75" s="43">
        <v>329.4714</v>
      </c>
      <c r="H75" s="43">
        <v>329.4714</v>
      </c>
      <c r="I75" s="43">
        <f>C75-E75</f>
        <v>0</v>
      </c>
      <c r="J75" s="43">
        <f t="shared" ref="J75:M75" si="81">D75-F75</f>
        <v>0</v>
      </c>
      <c r="K75" s="43">
        <f t="shared" si="81"/>
        <v>0</v>
      </c>
      <c r="L75" s="43">
        <f t="shared" si="81"/>
        <v>0</v>
      </c>
      <c r="M75" s="43">
        <f t="shared" si="79"/>
        <v>0</v>
      </c>
      <c r="N75" s="43">
        <v>329.4714</v>
      </c>
      <c r="S75" s="43">
        <f t="shared" si="80"/>
        <v>0</v>
      </c>
    </row>
    <row r="76" spans="2:19">
      <c r="B76" s="43">
        <v>100</v>
      </c>
      <c r="C76" s="43">
        <v>328.9855</v>
      </c>
      <c r="D76" s="43">
        <v>329.2555</v>
      </c>
      <c r="E76" s="43">
        <v>328.9535</v>
      </c>
      <c r="F76" s="43">
        <v>329.2245</v>
      </c>
      <c r="G76" s="43">
        <v>328.9214</v>
      </c>
      <c r="H76" s="43">
        <v>329.1934</v>
      </c>
      <c r="I76" s="43">
        <f>C76-E76</f>
        <v>0.0319999999999823</v>
      </c>
      <c r="J76" s="43">
        <f t="shared" ref="J76:M76" si="82">D76-F76</f>
        <v>0.0310000000000059</v>
      </c>
      <c r="K76" s="43">
        <f t="shared" si="82"/>
        <v>0.032100000000014</v>
      </c>
      <c r="L76" s="43">
        <f t="shared" si="82"/>
        <v>0.0310999999999808</v>
      </c>
      <c r="M76" s="43">
        <f t="shared" si="79"/>
        <v>0.0640999999999963</v>
      </c>
      <c r="N76" s="43">
        <v>329.1934</v>
      </c>
      <c r="S76" s="43">
        <f t="shared" si="80"/>
        <v>0.0620999999999867</v>
      </c>
    </row>
    <row r="141" customFormat="1" spans="6:7">
      <c r="G141" t="s">
        <v>104</v>
      </c>
    </row>
    <row r="142" customFormat="1" spans="6:7">
      <c r="F142" t="s">
        <v>105</v>
      </c>
      <c r="G142">
        <f>1/40</f>
        <v>0.025</v>
      </c>
    </row>
    <row r="143" customFormat="1" spans="6:7">
      <c r="F143" t="s">
        <v>106</v>
      </c>
      <c r="G143">
        <f>1/0.9/29.306</f>
        <v>0.0379141169423023</v>
      </c>
    </row>
    <row r="144" customFormat="1" spans="6:7">
      <c r="F144" t="s">
        <v>107</v>
      </c>
      <c r="G144">
        <f>(2476)/3103*1</f>
        <v>0.797937479858202</v>
      </c>
    </row>
    <row r="145" customFormat="1" spans="6:9">
      <c r="F145" t="s">
        <v>108</v>
      </c>
      <c r="G145">
        <f>G143*(1-G144)</f>
        <v>0.00766102201831245</v>
      </c>
    </row>
    <row r="146" customFormat="1" spans="6:9">
      <c r="F146" t="s">
        <v>109</v>
      </c>
      <c r="G146">
        <f>G142-G145</f>
        <v>0.0173389779816875</v>
      </c>
    </row>
    <row r="147" customFormat="1" spans="6:9">
      <c r="G147">
        <f>1/40-1/0.9/29.306*(1-2476/3103)</f>
        <v>0.0173389779816875</v>
      </c>
      <c r="I147">
        <f>339*G21-223*31*100/F17</f>
        <v>278.839472722362</v>
      </c>
    </row>
    <row r="148" customFormat="1" spans="6:9">
      <c r="G148">
        <f>F20*G147/24</f>
        <v>4.91776763005612</v>
      </c>
    </row>
    <row r="150" customFormat="1" spans="6:9">
      <c r="F150" t="s">
        <v>105</v>
      </c>
      <c r="G150">
        <f>1*40/1000</f>
        <v>0.04</v>
      </c>
    </row>
    <row r="151" customFormat="1" spans="6:9">
      <c r="F151" t="s">
        <v>106</v>
      </c>
      <c r="G151">
        <f>1/0.9/29.306</f>
        <v>0.0379141169423023</v>
      </c>
    </row>
    <row r="152" customFormat="1" spans="6:9">
      <c r="F152" t="s">
        <v>107</v>
      </c>
      <c r="G152">
        <f>(2476)/3605</f>
        <v>0.686823855755895</v>
      </c>
    </row>
    <row r="153" customFormat="1" spans="6:9">
      <c r="F153" t="s">
        <v>110</v>
      </c>
      <c r="G153">
        <f>G151*(1-G152)</f>
        <v>0.0118737969564103</v>
      </c>
    </row>
    <row r="154" customFormat="1" spans="6:9">
      <c r="F154" t="s">
        <v>109</v>
      </c>
      <c r="G154">
        <f>G150-G153</f>
        <v>0.0281262030435897</v>
      </c>
    </row>
  </sheetData>
  <mergeCells count="512">
    <mergeCell ref="B1:N1"/>
    <mergeCell ref="X1:AJ1"/>
    <mergeCell ref="AM1:AW1"/>
    <mergeCell ref="F2:G2"/>
    <mergeCell ref="H2:I2"/>
    <mergeCell ref="J2:K2"/>
    <mergeCell ref="L2:M2"/>
    <mergeCell ref="N2:O2"/>
    <mergeCell ref="AB2:AC2"/>
    <mergeCell ref="AD2:AE2"/>
    <mergeCell ref="AF2:AG2"/>
    <mergeCell ref="AH2:AI2"/>
    <mergeCell ref="AJ2:AK2"/>
    <mergeCell ref="AR2:AS2"/>
    <mergeCell ref="AT2:AU2"/>
    <mergeCell ref="AV2:AW2"/>
    <mergeCell ref="B4:C4"/>
    <mergeCell ref="X4:Y4"/>
    <mergeCell ref="AN4:AO4"/>
    <mergeCell ref="B5:C5"/>
    <mergeCell ref="X5:Y5"/>
    <mergeCell ref="AN5:AO5"/>
    <mergeCell ref="F6:G6"/>
    <mergeCell ref="H6:I6"/>
    <mergeCell ref="J6:K6"/>
    <mergeCell ref="L6:M6"/>
    <mergeCell ref="N6:O6"/>
    <mergeCell ref="AB6:AC6"/>
    <mergeCell ref="AD6:AE6"/>
    <mergeCell ref="AF6:AG6"/>
    <mergeCell ref="AH6:AI6"/>
    <mergeCell ref="AJ6:AK6"/>
    <mergeCell ref="AR6:AS6"/>
    <mergeCell ref="AT6:AU6"/>
    <mergeCell ref="AV6:AW6"/>
    <mergeCell ref="B9:C9"/>
    <mergeCell ref="D9:E9"/>
    <mergeCell ref="F9:G9"/>
    <mergeCell ref="H9:I9"/>
    <mergeCell ref="J9:K9"/>
    <mergeCell ref="L9:M9"/>
    <mergeCell ref="N9:O9"/>
    <mergeCell ref="X9:Y9"/>
    <mergeCell ref="Z9:AA9"/>
    <mergeCell ref="AB9:AC9"/>
    <mergeCell ref="AD9:AE9"/>
    <mergeCell ref="AF9:AG9"/>
    <mergeCell ref="AH9:AI9"/>
    <mergeCell ref="AJ9:AK9"/>
    <mergeCell ref="AN9:AO9"/>
    <mergeCell ref="AP9:AQ9"/>
    <mergeCell ref="AR9:AS9"/>
    <mergeCell ref="AT9:AU9"/>
    <mergeCell ref="AV9:AW9"/>
    <mergeCell ref="B10:C10"/>
    <mergeCell ref="D10:E10"/>
    <mergeCell ref="X10:Y10"/>
    <mergeCell ref="Z10:AA10"/>
    <mergeCell ref="AN10:AO10"/>
    <mergeCell ref="AP10:AQ10"/>
    <mergeCell ref="AR10:AS10"/>
    <mergeCell ref="AT10:AU10"/>
    <mergeCell ref="AV10:AW10"/>
    <mergeCell ref="B11:C11"/>
    <mergeCell ref="X11:Y11"/>
    <mergeCell ref="AN11:AO11"/>
    <mergeCell ref="AN12:AO12"/>
    <mergeCell ref="B15:C15"/>
    <mergeCell ref="X15:Y15"/>
    <mergeCell ref="B16:C16"/>
    <mergeCell ref="F16:G16"/>
    <mergeCell ref="H16:I16"/>
    <mergeCell ref="J16:K16"/>
    <mergeCell ref="L16:M16"/>
    <mergeCell ref="N16:O16"/>
    <mergeCell ref="X16:Y16"/>
    <mergeCell ref="AB16:AC16"/>
    <mergeCell ref="AD16:AE16"/>
    <mergeCell ref="AF16:AG16"/>
    <mergeCell ref="AH16:AI16"/>
    <mergeCell ref="AJ16:AK16"/>
    <mergeCell ref="AN16:AO16"/>
    <mergeCell ref="B17:C17"/>
    <mergeCell ref="D17:E17"/>
    <mergeCell ref="F17:G17"/>
    <mergeCell ref="H17:I17"/>
    <mergeCell ref="J17:K17"/>
    <mergeCell ref="L17:M17"/>
    <mergeCell ref="N17:O17"/>
    <mergeCell ref="X17:Y17"/>
    <mergeCell ref="Z17:AA17"/>
    <mergeCell ref="AB17:AC17"/>
    <mergeCell ref="AD17:AE17"/>
    <mergeCell ref="AF17:AG17"/>
    <mergeCell ref="AH17:AI17"/>
    <mergeCell ref="AJ17:AK17"/>
    <mergeCell ref="AN17:AO17"/>
    <mergeCell ref="AR17:AS17"/>
    <mergeCell ref="AT17:AU17"/>
    <mergeCell ref="AV17:AW17"/>
    <mergeCell ref="B18:C18"/>
    <mergeCell ref="X18:Y18"/>
    <mergeCell ref="AN18:AO18"/>
    <mergeCell ref="B19:C19"/>
    <mergeCell ref="X19:Y19"/>
    <mergeCell ref="AN19:AO19"/>
    <mergeCell ref="AP19:AQ19"/>
    <mergeCell ref="AR19:AS19"/>
    <mergeCell ref="AT19:AU19"/>
    <mergeCell ref="AV19:AW19"/>
    <mergeCell ref="AN20:AO20"/>
    <mergeCell ref="AR20:AS20"/>
    <mergeCell ref="AT20:AU20"/>
    <mergeCell ref="AV20:AW20"/>
    <mergeCell ref="B21:C21"/>
    <mergeCell ref="X21:Y21"/>
    <mergeCell ref="AN21:AO21"/>
    <mergeCell ref="B22:C22"/>
    <mergeCell ref="F22:G22"/>
    <mergeCell ref="H22:I22"/>
    <mergeCell ref="J22:K22"/>
    <mergeCell ref="L22:M22"/>
    <mergeCell ref="N22:O22"/>
    <mergeCell ref="X22:Y22"/>
    <mergeCell ref="AB22:AC22"/>
    <mergeCell ref="AD22:AE22"/>
    <mergeCell ref="AF22:AG22"/>
    <mergeCell ref="AH22:AI22"/>
    <mergeCell ref="AJ22:AK22"/>
    <mergeCell ref="AN22:AO22"/>
    <mergeCell ref="B23:C23"/>
    <mergeCell ref="F23:G23"/>
    <mergeCell ref="H23:I23"/>
    <mergeCell ref="J23:K23"/>
    <mergeCell ref="L23:M23"/>
    <mergeCell ref="N23:O23"/>
    <mergeCell ref="X23:Y23"/>
    <mergeCell ref="AB23:AC23"/>
    <mergeCell ref="AD23:AE23"/>
    <mergeCell ref="AF23:AG23"/>
    <mergeCell ref="AH23:AI23"/>
    <mergeCell ref="AJ23:AK23"/>
    <mergeCell ref="B24:C24"/>
    <mergeCell ref="X24:Y24"/>
    <mergeCell ref="AN24:AO24"/>
    <mergeCell ref="B25:C25"/>
    <mergeCell ref="X25:Y25"/>
    <mergeCell ref="AN25:AO25"/>
    <mergeCell ref="AR25:AS25"/>
    <mergeCell ref="AT25:AU25"/>
    <mergeCell ref="AV25:AW25"/>
    <mergeCell ref="B26:C26"/>
    <mergeCell ref="D26:E26"/>
    <mergeCell ref="F26:G26"/>
    <mergeCell ref="H26:I26"/>
    <mergeCell ref="J26:K26"/>
    <mergeCell ref="L26:M26"/>
    <mergeCell ref="N26:O26"/>
    <mergeCell ref="X26:Y26"/>
    <mergeCell ref="Z26:AA26"/>
    <mergeCell ref="AB26:AC26"/>
    <mergeCell ref="AD26:AE26"/>
    <mergeCell ref="AF26:AG26"/>
    <mergeCell ref="AH26:AI26"/>
    <mergeCell ref="AJ26:AK26"/>
    <mergeCell ref="AN26:AO26"/>
    <mergeCell ref="B27:C27"/>
    <mergeCell ref="D27:E27"/>
    <mergeCell ref="F27:G27"/>
    <mergeCell ref="H27:I27"/>
    <mergeCell ref="J27:K27"/>
    <mergeCell ref="L27:M27"/>
    <mergeCell ref="N27:O27"/>
    <mergeCell ref="X27:Y27"/>
    <mergeCell ref="Z27:AA27"/>
    <mergeCell ref="AB27:AC27"/>
    <mergeCell ref="AD27:AE27"/>
    <mergeCell ref="AF27:AG27"/>
    <mergeCell ref="AH27:AI27"/>
    <mergeCell ref="AJ27:AK27"/>
    <mergeCell ref="AN27:AO27"/>
    <mergeCell ref="AR27:AS27"/>
    <mergeCell ref="AT27:AU27"/>
    <mergeCell ref="AV27:AW27"/>
    <mergeCell ref="B28:C28"/>
    <mergeCell ref="D28:E28"/>
    <mergeCell ref="F28:G28"/>
    <mergeCell ref="H28:I28"/>
    <mergeCell ref="J28:K28"/>
    <mergeCell ref="L28:M28"/>
    <mergeCell ref="N28:O28"/>
    <mergeCell ref="X28:Y28"/>
    <mergeCell ref="Z28:AA28"/>
    <mergeCell ref="AB28:AC28"/>
    <mergeCell ref="AD28:AE28"/>
    <mergeCell ref="AF28:AG28"/>
    <mergeCell ref="AH28:AI28"/>
    <mergeCell ref="AJ28:AK28"/>
    <mergeCell ref="B29:C29"/>
    <mergeCell ref="D29:E29"/>
    <mergeCell ref="F29:G29"/>
    <mergeCell ref="H29:I29"/>
    <mergeCell ref="J29:K29"/>
    <mergeCell ref="L29:M29"/>
    <mergeCell ref="N29:O29"/>
    <mergeCell ref="X29:Y29"/>
    <mergeCell ref="Z29:AA29"/>
    <mergeCell ref="AB29:AC29"/>
    <mergeCell ref="AD29:AE29"/>
    <mergeCell ref="AF29:AG29"/>
    <mergeCell ref="AH29:AI29"/>
    <mergeCell ref="AJ29:AK29"/>
    <mergeCell ref="B35:N35"/>
    <mergeCell ref="X35:AJ35"/>
    <mergeCell ref="AM35:AW35"/>
    <mergeCell ref="F36:G36"/>
    <mergeCell ref="H36:I36"/>
    <mergeCell ref="J36:K36"/>
    <mergeCell ref="L36:M36"/>
    <mergeCell ref="N36:O36"/>
    <mergeCell ref="AB36:AC36"/>
    <mergeCell ref="AD36:AE36"/>
    <mergeCell ref="AF36:AG36"/>
    <mergeCell ref="AH36:AI36"/>
    <mergeCell ref="AJ36:AK36"/>
    <mergeCell ref="AR36:AS36"/>
    <mergeCell ref="AT36:AU36"/>
    <mergeCell ref="AV36:AW36"/>
    <mergeCell ref="B38:C38"/>
    <mergeCell ref="X38:Y38"/>
    <mergeCell ref="AN38:AO38"/>
    <mergeCell ref="B39:C39"/>
    <mergeCell ref="X39:Y39"/>
    <mergeCell ref="AN39:AO39"/>
    <mergeCell ref="F40:G40"/>
    <mergeCell ref="H40:I40"/>
    <mergeCell ref="J40:K40"/>
    <mergeCell ref="L40:M40"/>
    <mergeCell ref="N40:O40"/>
    <mergeCell ref="AB40:AC40"/>
    <mergeCell ref="AD40:AE40"/>
    <mergeCell ref="AF40:AG40"/>
    <mergeCell ref="AH40:AI40"/>
    <mergeCell ref="AJ40:AK40"/>
    <mergeCell ref="AR40:AS40"/>
    <mergeCell ref="AT40:AU40"/>
    <mergeCell ref="AV40:AW40"/>
    <mergeCell ref="B43:C43"/>
    <mergeCell ref="D43:E43"/>
    <mergeCell ref="F43:G43"/>
    <mergeCell ref="H43:I43"/>
    <mergeCell ref="J43:K43"/>
    <mergeCell ref="L43:M43"/>
    <mergeCell ref="N43:O43"/>
    <mergeCell ref="X43:Y43"/>
    <mergeCell ref="Z43:AA43"/>
    <mergeCell ref="AB43:AC43"/>
    <mergeCell ref="AD43:AE43"/>
    <mergeCell ref="AF43:AG43"/>
    <mergeCell ref="AH43:AI43"/>
    <mergeCell ref="AJ43:AK43"/>
    <mergeCell ref="AN43:AO43"/>
    <mergeCell ref="AP43:AQ43"/>
    <mergeCell ref="AR43:AS43"/>
    <mergeCell ref="AT43:AU43"/>
    <mergeCell ref="AV43:AW43"/>
    <mergeCell ref="B44:C44"/>
    <mergeCell ref="D44:E44"/>
    <mergeCell ref="X44:Y44"/>
    <mergeCell ref="Z44:AA44"/>
    <mergeCell ref="AN44:AO44"/>
    <mergeCell ref="AP44:AQ44"/>
    <mergeCell ref="AR44:AS44"/>
    <mergeCell ref="AT44:AU44"/>
    <mergeCell ref="AV44:AW44"/>
    <mergeCell ref="B45:C45"/>
    <mergeCell ref="X45:Y45"/>
    <mergeCell ref="AN45:AO45"/>
    <mergeCell ref="AN46:AO46"/>
    <mergeCell ref="B49:C49"/>
    <mergeCell ref="X49:Y49"/>
    <mergeCell ref="B50:C50"/>
    <mergeCell ref="F50:G50"/>
    <mergeCell ref="H50:I50"/>
    <mergeCell ref="J50:K50"/>
    <mergeCell ref="L50:M50"/>
    <mergeCell ref="N50:O50"/>
    <mergeCell ref="X50:Y50"/>
    <mergeCell ref="AB50:AC50"/>
    <mergeCell ref="AD50:AE50"/>
    <mergeCell ref="AF50:AG50"/>
    <mergeCell ref="AH50:AI50"/>
    <mergeCell ref="AJ50:AK50"/>
    <mergeCell ref="AN50:AO50"/>
    <mergeCell ref="B51:C51"/>
    <mergeCell ref="D51:E51"/>
    <mergeCell ref="F51:G51"/>
    <mergeCell ref="H51:I51"/>
    <mergeCell ref="J51:K51"/>
    <mergeCell ref="L51:M51"/>
    <mergeCell ref="N51:O51"/>
    <mergeCell ref="X51:Y51"/>
    <mergeCell ref="Z51:AA51"/>
    <mergeCell ref="AB51:AC51"/>
    <mergeCell ref="AD51:AE51"/>
    <mergeCell ref="AF51:AG51"/>
    <mergeCell ref="AH51:AI51"/>
    <mergeCell ref="AJ51:AK51"/>
    <mergeCell ref="AN51:AO51"/>
    <mergeCell ref="AR51:AS51"/>
    <mergeCell ref="AT51:AU51"/>
    <mergeCell ref="AV51:AW51"/>
    <mergeCell ref="B52:C52"/>
    <mergeCell ref="X52:Y52"/>
    <mergeCell ref="AN52:AO52"/>
    <mergeCell ref="B53:C53"/>
    <mergeCell ref="X53:Y53"/>
    <mergeCell ref="AN53:AO53"/>
    <mergeCell ref="AP53:AQ53"/>
    <mergeCell ref="AR53:AS53"/>
    <mergeCell ref="AT53:AU53"/>
    <mergeCell ref="AV53:AW53"/>
    <mergeCell ref="AN54:AO54"/>
    <mergeCell ref="AR54:AS54"/>
    <mergeCell ref="AT54:AU54"/>
    <mergeCell ref="AV54:AW54"/>
    <mergeCell ref="B55:C55"/>
    <mergeCell ref="X55:Y55"/>
    <mergeCell ref="AN55:AO55"/>
    <mergeCell ref="B56:C56"/>
    <mergeCell ref="F56:G56"/>
    <mergeCell ref="H56:I56"/>
    <mergeCell ref="J56:K56"/>
    <mergeCell ref="L56:M56"/>
    <mergeCell ref="N56:O56"/>
    <mergeCell ref="X56:Y56"/>
    <mergeCell ref="AB56:AC56"/>
    <mergeCell ref="AD56:AE56"/>
    <mergeCell ref="AF56:AG56"/>
    <mergeCell ref="AH56:AI56"/>
    <mergeCell ref="AJ56:AK56"/>
    <mergeCell ref="AN56:AO56"/>
    <mergeCell ref="B57:C57"/>
    <mergeCell ref="F57:G57"/>
    <mergeCell ref="H57:I57"/>
    <mergeCell ref="J57:K57"/>
    <mergeCell ref="L57:M57"/>
    <mergeCell ref="N57:O57"/>
    <mergeCell ref="X57:Y57"/>
    <mergeCell ref="AB57:AC57"/>
    <mergeCell ref="AD57:AE57"/>
    <mergeCell ref="AF57:AG57"/>
    <mergeCell ref="AH57:AI57"/>
    <mergeCell ref="AJ57:AK57"/>
    <mergeCell ref="B58:C58"/>
    <mergeCell ref="X58:Y58"/>
    <mergeCell ref="AN58:AO58"/>
    <mergeCell ref="B59:C59"/>
    <mergeCell ref="X59:Y59"/>
    <mergeCell ref="AN59:AO59"/>
    <mergeCell ref="AR59:AS59"/>
    <mergeCell ref="AT59:AU59"/>
    <mergeCell ref="AV59:AW59"/>
    <mergeCell ref="B60:C60"/>
    <mergeCell ref="D60:E60"/>
    <mergeCell ref="F60:G60"/>
    <mergeCell ref="H60:I60"/>
    <mergeCell ref="J60:K60"/>
    <mergeCell ref="L60:M60"/>
    <mergeCell ref="N60:O60"/>
    <mergeCell ref="X60:Y60"/>
    <mergeCell ref="Z60:AA60"/>
    <mergeCell ref="AB60:AC60"/>
    <mergeCell ref="AD60:AE60"/>
    <mergeCell ref="AF60:AG60"/>
    <mergeCell ref="AH60:AI60"/>
    <mergeCell ref="AJ60:AK60"/>
    <mergeCell ref="AN60:AO60"/>
    <mergeCell ref="B61:C61"/>
    <mergeCell ref="D61:E61"/>
    <mergeCell ref="F61:G61"/>
    <mergeCell ref="H61:I61"/>
    <mergeCell ref="J61:K61"/>
    <mergeCell ref="L61:M61"/>
    <mergeCell ref="N61:O61"/>
    <mergeCell ref="X61:Y61"/>
    <mergeCell ref="Z61:AA61"/>
    <mergeCell ref="AB61:AC61"/>
    <mergeCell ref="AD61:AE61"/>
    <mergeCell ref="AF61:AG61"/>
    <mergeCell ref="AH61:AI61"/>
    <mergeCell ref="AJ61:AK61"/>
    <mergeCell ref="AN61:AO61"/>
    <mergeCell ref="AR61:AS61"/>
    <mergeCell ref="AT61:AU61"/>
    <mergeCell ref="AV61:AW61"/>
    <mergeCell ref="B62:C62"/>
    <mergeCell ref="D62:E62"/>
    <mergeCell ref="F62:G62"/>
    <mergeCell ref="H62:I62"/>
    <mergeCell ref="J62:K62"/>
    <mergeCell ref="L62:M62"/>
    <mergeCell ref="N62:O62"/>
    <mergeCell ref="X62:Y62"/>
    <mergeCell ref="Z62:AA62"/>
    <mergeCell ref="AB62:AC62"/>
    <mergeCell ref="AD62:AE62"/>
    <mergeCell ref="AF62:AG62"/>
    <mergeCell ref="AH62:AI62"/>
    <mergeCell ref="AJ62:AK62"/>
    <mergeCell ref="B63:C63"/>
    <mergeCell ref="D63:E63"/>
    <mergeCell ref="F63:G63"/>
    <mergeCell ref="H63:I63"/>
    <mergeCell ref="J63:K63"/>
    <mergeCell ref="L63:M63"/>
    <mergeCell ref="N63:O63"/>
    <mergeCell ref="X63:Y63"/>
    <mergeCell ref="Z63:AA63"/>
    <mergeCell ref="AB63:AC63"/>
    <mergeCell ref="AD63:AE63"/>
    <mergeCell ref="AF63:AG63"/>
    <mergeCell ref="AH63:AI63"/>
    <mergeCell ref="AJ63:AK63"/>
    <mergeCell ref="D64:E64"/>
    <mergeCell ref="F64:G64"/>
    <mergeCell ref="H64:I64"/>
    <mergeCell ref="J64:K64"/>
    <mergeCell ref="D65:E65"/>
    <mergeCell ref="F65:G65"/>
    <mergeCell ref="H65:I65"/>
    <mergeCell ref="J65:K65"/>
    <mergeCell ref="D66:E66"/>
    <mergeCell ref="F66:G66"/>
    <mergeCell ref="H66:I66"/>
    <mergeCell ref="J66:K66"/>
    <mergeCell ref="D67:E67"/>
    <mergeCell ref="F67:G67"/>
    <mergeCell ref="H67:I67"/>
    <mergeCell ref="J67:K67"/>
    <mergeCell ref="D68:E68"/>
    <mergeCell ref="F68:G68"/>
    <mergeCell ref="H68:I68"/>
    <mergeCell ref="J68:K68"/>
    <mergeCell ref="C72:D72"/>
    <mergeCell ref="E72:F72"/>
    <mergeCell ref="G72:H72"/>
    <mergeCell ref="I72:J72"/>
    <mergeCell ref="K72:L72"/>
    <mergeCell ref="M72:N72"/>
    <mergeCell ref="A4:A8"/>
    <mergeCell ref="A9:A16"/>
    <mergeCell ref="A17:A22"/>
    <mergeCell ref="A38:A42"/>
    <mergeCell ref="A43:A50"/>
    <mergeCell ref="A51:A56"/>
    <mergeCell ref="B6:B8"/>
    <mergeCell ref="B12:B14"/>
    <mergeCell ref="B40:B42"/>
    <mergeCell ref="B46:B48"/>
    <mergeCell ref="B72:B73"/>
    <mergeCell ref="D2:D3"/>
    <mergeCell ref="D36:D37"/>
    <mergeCell ref="E2:E3"/>
    <mergeCell ref="E36:E37"/>
    <mergeCell ref="G12:G14"/>
    <mergeCell ref="I12:I14"/>
    <mergeCell ref="K12:K14"/>
    <mergeCell ref="M12:M14"/>
    <mergeCell ref="O12:O14"/>
    <mergeCell ref="W4:W8"/>
    <mergeCell ref="W9:W16"/>
    <mergeCell ref="W17:W22"/>
    <mergeCell ref="W38:W42"/>
    <mergeCell ref="W43:W50"/>
    <mergeCell ref="W51:W56"/>
    <mergeCell ref="X6:X8"/>
    <mergeCell ref="X12:X14"/>
    <mergeCell ref="X40:X42"/>
    <mergeCell ref="X46:X48"/>
    <mergeCell ref="Z2:Z3"/>
    <mergeCell ref="Z36:Z37"/>
    <mergeCell ref="AA2:AA3"/>
    <mergeCell ref="AA36:AA37"/>
    <mergeCell ref="AC12:AC14"/>
    <mergeCell ref="AE12:AE14"/>
    <mergeCell ref="AG12:AG14"/>
    <mergeCell ref="AI12:AI14"/>
    <mergeCell ref="AK12:AK14"/>
    <mergeCell ref="AM4:AM8"/>
    <mergeCell ref="AM9:AM17"/>
    <mergeCell ref="AM19:AM25"/>
    <mergeCell ref="AM38:AM42"/>
    <mergeCell ref="AM43:AM51"/>
    <mergeCell ref="AM53:AM59"/>
    <mergeCell ref="AN6:AN8"/>
    <mergeCell ref="AN13:AN15"/>
    <mergeCell ref="AN40:AN42"/>
    <mergeCell ref="AN47:AN49"/>
    <mergeCell ref="AP2:AP3"/>
    <mergeCell ref="AP36:AP37"/>
    <mergeCell ref="AQ2:AQ3"/>
    <mergeCell ref="AQ36:AQ37"/>
    <mergeCell ref="AS13:AS15"/>
    <mergeCell ref="AU13:AU15"/>
    <mergeCell ref="AW13:AW15"/>
    <mergeCell ref="A2:C3"/>
    <mergeCell ref="W2:Y3"/>
    <mergeCell ref="AM2:AO3"/>
    <mergeCell ref="A36:C37"/>
    <mergeCell ref="W36:Y37"/>
    <mergeCell ref="AM36:AO3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5"/>
  <sheetViews>
    <sheetView tabSelected="1" workbookViewId="0">
      <selection activeCell="M46" sqref="M46"/>
    </sheetView>
  </sheetViews>
  <sheetFormatPr defaultColWidth="9" defaultRowHeight="13.5"/>
  <cols>
    <col min="15" max="15" width="10.625" customWidth="1"/>
    <col min="16" max="16" width="10.5" customWidth="1"/>
    <col min="17" max="17" width="11" customWidth="1"/>
    <col min="19" max="19" width="11.75" customWidth="1"/>
  </cols>
  <sheetData>
    <row r="1" customHeight="1"/>
    <row r="2" customHeight="1"/>
    <row r="9" customHeight="1"/>
    <row r="19" customHeight="1"/>
    <row r="20" customHeight="1"/>
    <row r="21" customHeight="1"/>
    <row r="22" customHeight="1"/>
    <row r="29" customHeight="1"/>
    <row r="41" spans="3:16">
      <c r="E41" t="s">
        <v>111</v>
      </c>
      <c r="F41" t="s">
        <v>112</v>
      </c>
      <c r="G41" t="s">
        <v>113</v>
      </c>
    </row>
    <row r="42" ht="108" spans="3:16">
      <c r="D42" t="s">
        <v>114</v>
      </c>
      <c r="E42" s="1" t="s">
        <v>115</v>
      </c>
      <c r="G42" s="1" t="s">
        <v>116</v>
      </c>
      <c r="K42" s="1" t="s">
        <v>117</v>
      </c>
      <c r="L42" s="1" t="s">
        <v>118</v>
      </c>
      <c r="M42" s="1" t="s">
        <v>119</v>
      </c>
      <c r="N42" s="1"/>
      <c r="O42" s="1" t="s">
        <v>120</v>
      </c>
      <c r="P42" s="1"/>
    </row>
    <row r="43" ht="27" spans="3:16">
      <c r="C43" t="s">
        <v>121</v>
      </c>
      <c r="D43">
        <v>0.6</v>
      </c>
      <c r="F43" s="2">
        <f>0.176+0.202*(1-EXP(-D43/1.19))</f>
        <v>0.255994513293154</v>
      </c>
      <c r="K43" s="1" t="s">
        <v>122</v>
      </c>
      <c r="L43" s="1" t="s">
        <v>123</v>
      </c>
      <c r="M43" s="1" t="s">
        <v>124</v>
      </c>
      <c r="N43" s="1" t="s">
        <v>125</v>
      </c>
      <c r="O43" s="1" t="s">
        <v>126</v>
      </c>
    </row>
    <row r="44" spans="3:16">
      <c r="C44" t="s">
        <v>127</v>
      </c>
      <c r="D44">
        <v>3.2</v>
      </c>
      <c r="F44" s="2">
        <f>0.13+0.121*(1-EXP(-D44/0.428))+0.156*(1-EXP(-D44/3.221))</f>
        <v>0.34916691842</v>
      </c>
      <c r="I44" t="s">
        <v>128</v>
      </c>
      <c r="K44">
        <v>6.4</v>
      </c>
      <c r="L44">
        <v>3.2</v>
      </c>
      <c r="O44">
        <v>0.6</v>
      </c>
    </row>
    <row r="45" spans="3:16">
      <c r="C45" t="s">
        <v>127</v>
      </c>
      <c r="D45">
        <v>6.4</v>
      </c>
      <c r="F45" s="2">
        <f>0.13+0.121*(1-EXP(-D45/0.428))+0.156*(1-EXP(-D45/3.221))</f>
        <v>0.385610561989681</v>
      </c>
      <c r="I45" t="s">
        <v>129</v>
      </c>
      <c r="K45">
        <v>545</v>
      </c>
      <c r="L45">
        <v>545</v>
      </c>
      <c r="M45">
        <v>30</v>
      </c>
      <c r="O45">
        <v>320</v>
      </c>
    </row>
    <row r="46" spans="3:16">
      <c r="I46" t="s">
        <v>130</v>
      </c>
      <c r="K46">
        <v>3605</v>
      </c>
      <c r="L46">
        <v>3530</v>
      </c>
      <c r="M46">
        <f>N46+M45*4.18</f>
        <v>2532.3</v>
      </c>
      <c r="N46">
        <v>2406.9</v>
      </c>
      <c r="O46">
        <v>3103</v>
      </c>
    </row>
    <row r="50" spans="1:14">
      <c r="A50" t="s">
        <v>131</v>
      </c>
    </row>
    <row r="52" ht="18.75" spans="1:14">
      <c r="A52" s="3" t="s">
        <v>132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ht="14.25" spans="1:14">
      <c r="A53" s="4" t="s">
        <v>133</v>
      </c>
      <c r="B53" s="4"/>
      <c r="C53" s="4"/>
      <c r="D53" s="4"/>
      <c r="E53" s="4"/>
      <c r="F53" s="4"/>
      <c r="G53" s="4"/>
      <c r="H53" s="4"/>
      <c r="I53" s="4"/>
      <c r="J53" s="4"/>
      <c r="K53" s="5"/>
      <c r="L53" s="5"/>
      <c r="M53" s="5"/>
      <c r="N53" s="5"/>
    </row>
    <row r="54" ht="14.25" spans="1:14">
      <c r="A54" s="6" t="s">
        <v>134</v>
      </c>
      <c r="B54" s="6" t="s">
        <v>6</v>
      </c>
      <c r="C54" s="6" t="s">
        <v>7</v>
      </c>
      <c r="D54" s="6" t="s">
        <v>8</v>
      </c>
      <c r="E54" s="6" t="s">
        <v>9</v>
      </c>
      <c r="F54" s="6" t="s">
        <v>10</v>
      </c>
      <c r="G54" s="6" t="s">
        <v>11</v>
      </c>
      <c r="H54" s="6" t="s">
        <v>12</v>
      </c>
      <c r="I54" s="6" t="s">
        <v>13</v>
      </c>
      <c r="J54" s="6" t="s">
        <v>14</v>
      </c>
      <c r="K54" s="6" t="s">
        <v>15</v>
      </c>
      <c r="L54" s="6" t="s">
        <v>16</v>
      </c>
      <c r="M54" s="6" t="s">
        <v>17</v>
      </c>
      <c r="N54" s="6" t="s">
        <v>53</v>
      </c>
    </row>
    <row r="55" spans="1:14">
      <c r="A55" s="7" t="s">
        <v>128</v>
      </c>
      <c r="B55" s="8">
        <v>4.321</v>
      </c>
      <c r="C55" s="7">
        <v>4.216</v>
      </c>
      <c r="D55" s="8">
        <v>3.909</v>
      </c>
      <c r="E55" s="8">
        <v>3.894</v>
      </c>
      <c r="F55" s="8">
        <v>4.026</v>
      </c>
      <c r="G55" s="8">
        <v>3.834</v>
      </c>
      <c r="H55" s="8">
        <v>3.922</v>
      </c>
      <c r="I55" s="8"/>
      <c r="J55" s="8"/>
      <c r="K55" s="8"/>
      <c r="L55" s="8">
        <v>4.21</v>
      </c>
      <c r="M55" s="8">
        <v>4.39</v>
      </c>
      <c r="N55" s="9">
        <v>4.08022222222222</v>
      </c>
    </row>
    <row r="56" spans="1:14">
      <c r="A56" s="7" t="s">
        <v>129</v>
      </c>
      <c r="B56" s="8">
        <v>419.286</v>
      </c>
      <c r="C56" s="7">
        <v>407</v>
      </c>
      <c r="D56" s="8">
        <v>408.8</v>
      </c>
      <c r="E56" s="8">
        <v>383</v>
      </c>
      <c r="F56" s="8">
        <v>414.6</v>
      </c>
      <c r="G56" s="8">
        <v>407.8</v>
      </c>
      <c r="H56" s="8">
        <v>416.3</v>
      </c>
      <c r="I56" s="8"/>
      <c r="J56" s="8"/>
      <c r="K56" s="8"/>
      <c r="L56" s="8">
        <v>409.3</v>
      </c>
      <c r="M56" s="8">
        <v>416.2</v>
      </c>
      <c r="N56" s="9">
        <v>409.142888888889</v>
      </c>
    </row>
    <row r="57" ht="14.25" spans="1:14">
      <c r="A57" s="10" t="s">
        <v>130</v>
      </c>
      <c r="B57" s="8">
        <v>3252.84</v>
      </c>
      <c r="C57" s="7">
        <v>3225.5</v>
      </c>
      <c r="D57" s="8">
        <v>3234.98</v>
      </c>
      <c r="E57" s="8">
        <v>3174.21</v>
      </c>
      <c r="F57" s="8">
        <v>3246.63</v>
      </c>
      <c r="G57" s="8">
        <v>3233.88</v>
      </c>
      <c r="H57" s="8">
        <v>3252.29</v>
      </c>
      <c r="I57" s="8"/>
      <c r="J57" s="8"/>
      <c r="K57" s="8"/>
      <c r="L57" s="8">
        <v>3231.07</v>
      </c>
      <c r="M57" s="8">
        <v>3244.4</v>
      </c>
      <c r="N57" s="8">
        <v>3232.46442286255</v>
      </c>
    </row>
    <row r="58" ht="14.25" spans="1:14">
      <c r="A58" s="11" t="s">
        <v>135</v>
      </c>
      <c r="B58" s="12">
        <v>22823</v>
      </c>
      <c r="C58" s="13">
        <v>20788</v>
      </c>
      <c r="D58" s="12">
        <v>20479</v>
      </c>
      <c r="E58" s="12">
        <v>19764</v>
      </c>
      <c r="F58" s="12">
        <v>19109</v>
      </c>
      <c r="G58" s="12">
        <v>17880</v>
      </c>
      <c r="H58" s="12">
        <v>10400</v>
      </c>
      <c r="I58" s="12"/>
      <c r="J58" s="12"/>
      <c r="K58" s="12"/>
      <c r="L58" s="12">
        <v>15091</v>
      </c>
      <c r="M58" s="12">
        <v>25003</v>
      </c>
      <c r="N58" s="12">
        <v>171337</v>
      </c>
    </row>
    <row r="59" ht="14.25" spans="1:14">
      <c r="A59" s="14" t="s">
        <v>136</v>
      </c>
      <c r="B59" s="15">
        <v>74239.56732</v>
      </c>
      <c r="C59" s="16">
        <v>67051.694</v>
      </c>
      <c r="D59" s="15">
        <v>66249.15542</v>
      </c>
      <c r="E59" s="17">
        <v>62735.08644</v>
      </c>
      <c r="F59" s="17">
        <v>62039.85267</v>
      </c>
      <c r="G59" s="17">
        <v>57821.7744</v>
      </c>
      <c r="H59" s="15">
        <v>33823.816</v>
      </c>
      <c r="I59" s="17">
        <v>0</v>
      </c>
      <c r="J59" s="17">
        <v>0</v>
      </c>
      <c r="K59" s="17">
        <v>0</v>
      </c>
      <c r="L59" s="17">
        <v>48760.07737</v>
      </c>
      <c r="M59" s="17">
        <v>81119.7332</v>
      </c>
      <c r="N59" s="17">
        <v>553840.75682</v>
      </c>
    </row>
    <row r="60" ht="14.25" spans="1:14">
      <c r="A60" s="4" t="s">
        <v>137</v>
      </c>
      <c r="B60" s="4"/>
      <c r="C60" s="4"/>
      <c r="D60" s="4"/>
      <c r="E60" s="4"/>
      <c r="F60" s="4"/>
      <c r="G60" s="4"/>
      <c r="H60" s="4"/>
      <c r="I60" s="4"/>
      <c r="J60" s="4"/>
      <c r="K60" s="5"/>
      <c r="L60" s="5"/>
      <c r="M60" s="5"/>
      <c r="N60" s="5"/>
    </row>
    <row r="61" ht="14.25" spans="1:14">
      <c r="A61" s="6" t="s">
        <v>138</v>
      </c>
      <c r="B61" s="6" t="s">
        <v>6</v>
      </c>
      <c r="C61" s="6" t="s">
        <v>7</v>
      </c>
      <c r="D61" s="6" t="s">
        <v>8</v>
      </c>
      <c r="E61" s="6" t="s">
        <v>9</v>
      </c>
      <c r="F61" s="6" t="s">
        <v>10</v>
      </c>
      <c r="G61" s="6" t="s">
        <v>11</v>
      </c>
      <c r="H61" s="6" t="s">
        <v>12</v>
      </c>
      <c r="I61" s="6" t="s">
        <v>13</v>
      </c>
      <c r="J61" s="6" t="s">
        <v>14</v>
      </c>
      <c r="K61" s="6" t="s">
        <v>15</v>
      </c>
      <c r="L61" s="6" t="s">
        <v>16</v>
      </c>
      <c r="M61" s="6" t="s">
        <v>17</v>
      </c>
      <c r="N61" s="6" t="s">
        <v>53</v>
      </c>
    </row>
    <row r="62" spans="1:14">
      <c r="A62" s="7" t="s">
        <v>128</v>
      </c>
      <c r="B62" s="8"/>
      <c r="C62" s="7"/>
      <c r="D62" s="8"/>
      <c r="E62" s="8"/>
      <c r="F62" s="8">
        <v>0.611</v>
      </c>
      <c r="G62" s="8">
        <v>0.589</v>
      </c>
      <c r="H62" s="8">
        <v>0.59</v>
      </c>
      <c r="I62" s="8"/>
      <c r="J62" s="8"/>
      <c r="K62" s="8"/>
      <c r="L62" s="8">
        <v>0.601</v>
      </c>
      <c r="M62" s="8">
        <v>0.65</v>
      </c>
      <c r="N62" s="9">
        <v>0.6082</v>
      </c>
    </row>
    <row r="63" spans="1:14">
      <c r="A63" s="7" t="s">
        <v>129</v>
      </c>
      <c r="B63" s="8"/>
      <c r="C63" s="7"/>
      <c r="D63" s="8"/>
      <c r="E63" s="8"/>
      <c r="F63" s="8">
        <v>164.7</v>
      </c>
      <c r="G63" s="8">
        <v>189.7</v>
      </c>
      <c r="H63" s="8">
        <v>189.7</v>
      </c>
      <c r="I63" s="8"/>
      <c r="J63" s="8"/>
      <c r="K63" s="8"/>
      <c r="L63" s="8">
        <v>190.7</v>
      </c>
      <c r="M63" s="8">
        <v>191.04</v>
      </c>
      <c r="N63" s="9">
        <v>185.168</v>
      </c>
    </row>
    <row r="64" ht="14.25" spans="1:14">
      <c r="A64" s="10" t="s">
        <v>130</v>
      </c>
      <c r="B64" s="8"/>
      <c r="C64" s="7"/>
      <c r="D64" s="8"/>
      <c r="E64" s="8"/>
      <c r="F64" s="8">
        <v>673.75</v>
      </c>
      <c r="G64" s="8">
        <v>667.52</v>
      </c>
      <c r="H64" s="8">
        <v>667.81</v>
      </c>
      <c r="I64" s="8"/>
      <c r="J64" s="8"/>
      <c r="K64" s="8"/>
      <c r="L64" s="8">
        <v>670.95</v>
      </c>
      <c r="M64" s="8">
        <v>684.38</v>
      </c>
      <c r="N64" s="8">
        <v>677.587869531326</v>
      </c>
    </row>
    <row r="65" ht="14.25" spans="1:14">
      <c r="A65" s="11" t="s">
        <v>135</v>
      </c>
      <c r="B65" s="12"/>
      <c r="C65" s="13"/>
      <c r="D65" s="12"/>
      <c r="E65" s="12"/>
      <c r="F65" s="12">
        <v>1299</v>
      </c>
      <c r="G65" s="12">
        <v>1923</v>
      </c>
      <c r="H65" s="12">
        <v>875</v>
      </c>
      <c r="I65" s="12"/>
      <c r="J65" s="12"/>
      <c r="K65" s="12"/>
      <c r="L65" s="12">
        <v>5859</v>
      </c>
      <c r="M65" s="12">
        <v>10570</v>
      </c>
      <c r="N65" s="12">
        <v>20526</v>
      </c>
    </row>
    <row r="66" ht="14.25" spans="1:14">
      <c r="A66" s="14" t="s">
        <v>136</v>
      </c>
      <c r="B66" s="15">
        <v>0</v>
      </c>
      <c r="C66" s="16">
        <v>0</v>
      </c>
      <c r="D66" s="15">
        <v>0</v>
      </c>
      <c r="E66" s="17">
        <v>0</v>
      </c>
      <c r="F66" s="18">
        <v>875.20125</v>
      </c>
      <c r="G66" s="17">
        <v>1283.64096</v>
      </c>
      <c r="H66" s="15">
        <v>584.33375</v>
      </c>
      <c r="I66" s="17">
        <v>0</v>
      </c>
      <c r="J66" s="17">
        <v>0</v>
      </c>
      <c r="K66" s="17">
        <v>0</v>
      </c>
      <c r="L66" s="17">
        <v>3931.09605</v>
      </c>
      <c r="M66" s="17">
        <v>7233.8966</v>
      </c>
      <c r="N66" s="15">
        <v>13908.16861</v>
      </c>
    </row>
    <row r="67" ht="14.25" spans="1:14">
      <c r="A67" s="14" t="s">
        <v>139</v>
      </c>
      <c r="B67" s="15">
        <v>74239.57</v>
      </c>
      <c r="C67" s="15">
        <v>67051.69</v>
      </c>
      <c r="D67" s="15">
        <v>66249.16</v>
      </c>
      <c r="E67" s="15">
        <v>62735.09</v>
      </c>
      <c r="F67" s="15">
        <v>62915.05</v>
      </c>
      <c r="G67" s="15">
        <v>59105.42</v>
      </c>
      <c r="H67" s="15">
        <v>34408.15</v>
      </c>
      <c r="I67" s="15">
        <v>0</v>
      </c>
      <c r="J67" s="15">
        <v>0</v>
      </c>
      <c r="K67" s="15">
        <v>0</v>
      </c>
      <c r="L67" s="15">
        <v>52691.17</v>
      </c>
      <c r="M67" s="15">
        <v>88353.63</v>
      </c>
      <c r="N67" s="15">
        <v>567748.93</v>
      </c>
    </row>
    <row r="68" spans="1:14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</row>
    <row r="69" spans="1:14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ht="18.75" spans="1:14">
      <c r="A70" s="3" t="s">
        <v>140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ht="14.25" spans="1:14">
      <c r="A71" s="19" t="s">
        <v>141</v>
      </c>
      <c r="B71" s="19"/>
      <c r="C71" s="19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</row>
    <row r="72" ht="14.25" spans="1:14">
      <c r="A72" s="14" t="s">
        <v>136</v>
      </c>
      <c r="B72" s="21">
        <v>126394</v>
      </c>
      <c r="C72" s="22">
        <v>143156</v>
      </c>
      <c r="D72" s="23">
        <v>102228</v>
      </c>
      <c r="E72" s="24">
        <v>63558</v>
      </c>
      <c r="F72" s="24"/>
      <c r="G72" s="24"/>
      <c r="H72" s="24"/>
      <c r="I72" s="24"/>
      <c r="J72" s="24"/>
      <c r="K72" s="24"/>
      <c r="L72" s="24">
        <v>33592</v>
      </c>
      <c r="M72" s="24">
        <v>118906</v>
      </c>
      <c r="N72" s="24">
        <v>587834</v>
      </c>
    </row>
    <row r="75" spans="1:14">
      <c r="A75" t="s">
        <v>142</v>
      </c>
    </row>
    <row r="76" ht="18.75" spans="1:14">
      <c r="A76" s="3" t="s">
        <v>143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ht="14.25" spans="1:14">
      <c r="A77" s="4" t="s">
        <v>133</v>
      </c>
      <c r="B77" s="4"/>
      <c r="C77" s="4"/>
      <c r="D77" s="4"/>
      <c r="E77" s="4"/>
      <c r="F77" s="4"/>
      <c r="G77" s="4"/>
      <c r="H77" s="4"/>
      <c r="I77" s="4"/>
      <c r="J77" s="4"/>
      <c r="K77" s="20"/>
      <c r="L77" s="20"/>
      <c r="M77" s="20"/>
      <c r="N77" s="20"/>
    </row>
    <row r="78" ht="14.25" spans="1:14">
      <c r="A78" s="6" t="s">
        <v>134</v>
      </c>
      <c r="B78" s="6" t="s">
        <v>6</v>
      </c>
      <c r="C78" s="6" t="s">
        <v>7</v>
      </c>
      <c r="D78" s="6" t="s">
        <v>8</v>
      </c>
      <c r="E78" s="6" t="s">
        <v>9</v>
      </c>
      <c r="F78" s="6" t="s">
        <v>10</v>
      </c>
      <c r="G78" s="6" t="s">
        <v>11</v>
      </c>
      <c r="H78" s="6" t="s">
        <v>12</v>
      </c>
      <c r="I78" s="6" t="s">
        <v>13</v>
      </c>
      <c r="J78" s="6" t="s">
        <v>14</v>
      </c>
      <c r="K78" s="6" t="s">
        <v>15</v>
      </c>
      <c r="L78" s="6" t="s">
        <v>16</v>
      </c>
      <c r="M78" s="6" t="s">
        <v>17</v>
      </c>
      <c r="N78" s="6" t="s">
        <v>144</v>
      </c>
    </row>
    <row r="79" ht="14.25" spans="1:14">
      <c r="A79" s="25" t="s">
        <v>128</v>
      </c>
      <c r="B79" s="26">
        <v>4.44</v>
      </c>
      <c r="C79" s="25">
        <v>3.834</v>
      </c>
      <c r="D79" s="26">
        <v>3.882</v>
      </c>
      <c r="E79" s="26">
        <v>3.858</v>
      </c>
      <c r="F79" s="26">
        <v>4.011</v>
      </c>
      <c r="G79" s="27">
        <v>4.014</v>
      </c>
      <c r="H79" s="26">
        <v>3.97</v>
      </c>
      <c r="I79" s="26">
        <v>3.92</v>
      </c>
      <c r="J79" s="8">
        <v>4.2127</v>
      </c>
      <c r="K79" s="26"/>
      <c r="L79" s="26"/>
      <c r="M79" s="26"/>
      <c r="N79" s="28">
        <v>4.01574444444444</v>
      </c>
    </row>
    <row r="80" ht="14.25" spans="1:14">
      <c r="A80" s="25" t="s">
        <v>129</v>
      </c>
      <c r="B80" s="26">
        <v>406.2</v>
      </c>
      <c r="C80" s="25">
        <v>350.5</v>
      </c>
      <c r="D80" s="26">
        <v>369.7</v>
      </c>
      <c r="E80" s="26">
        <v>372.4</v>
      </c>
      <c r="F80" s="26">
        <v>394.4</v>
      </c>
      <c r="G80" s="27">
        <v>395.4</v>
      </c>
      <c r="H80" s="26">
        <v>382.2</v>
      </c>
      <c r="I80" s="26">
        <v>388</v>
      </c>
      <c r="J80" s="8">
        <v>422.6</v>
      </c>
      <c r="K80" s="26"/>
      <c r="L80" s="26"/>
      <c r="M80" s="26"/>
      <c r="N80" s="28">
        <v>386.822222222222</v>
      </c>
    </row>
    <row r="81" ht="14.25" spans="1:14">
      <c r="A81" s="10" t="s">
        <v>130</v>
      </c>
      <c r="B81" s="26">
        <v>3219.72</v>
      </c>
      <c r="C81" s="25">
        <v>3096.53</v>
      </c>
      <c r="D81" s="26">
        <v>3142.48</v>
      </c>
      <c r="E81" s="26">
        <v>3149.47</v>
      </c>
      <c r="F81" s="26">
        <v>3200.93242140085</v>
      </c>
      <c r="G81" s="27">
        <v>3201.54</v>
      </c>
      <c r="H81" s="26">
        <v>3170.85</v>
      </c>
      <c r="I81" s="26">
        <v>3185.67</v>
      </c>
      <c r="J81" s="8">
        <v>3262.37</v>
      </c>
      <c r="K81" s="26"/>
      <c r="L81" s="26"/>
      <c r="M81" s="26"/>
      <c r="N81" s="26"/>
    </row>
    <row r="82" ht="14.25" spans="1:14">
      <c r="A82" s="11" t="s">
        <v>135</v>
      </c>
      <c r="B82" s="29">
        <v>28720</v>
      </c>
      <c r="C82" s="30">
        <v>24276</v>
      </c>
      <c r="D82" s="29">
        <v>18943</v>
      </c>
      <c r="E82" s="29">
        <v>18760</v>
      </c>
      <c r="F82" s="29">
        <v>22151</v>
      </c>
      <c r="G82" s="31">
        <v>22498</v>
      </c>
      <c r="H82" s="29">
        <v>23670</v>
      </c>
      <c r="I82" s="29">
        <v>23669</v>
      </c>
      <c r="J82" s="12">
        <v>23346</v>
      </c>
      <c r="K82" s="29"/>
      <c r="L82" s="29"/>
      <c r="M82" s="29"/>
      <c r="N82" s="29">
        <v>206033</v>
      </c>
    </row>
    <row r="83" ht="14.25" spans="1:14">
      <c r="A83" s="14" t="s">
        <v>136</v>
      </c>
      <c r="B83" s="21">
        <v>92470.3584</v>
      </c>
      <c r="C83" s="22">
        <v>75171.36228</v>
      </c>
      <c r="D83" s="21">
        <v>59527.99864</v>
      </c>
      <c r="E83" s="24">
        <v>59084.0572</v>
      </c>
      <c r="F83" s="24">
        <v>70903.8540664503</v>
      </c>
      <c r="G83" s="24">
        <v>72028.24692</v>
      </c>
      <c r="H83" s="21">
        <v>75054.0195</v>
      </c>
      <c r="I83" s="24">
        <v>75401.62323</v>
      </c>
      <c r="J83" s="24">
        <v>76163.29002</v>
      </c>
      <c r="K83" s="24">
        <v>0</v>
      </c>
      <c r="L83" s="24">
        <v>0</v>
      </c>
      <c r="M83" s="24">
        <v>0</v>
      </c>
      <c r="N83" s="24">
        <v>655804.81025645</v>
      </c>
    </row>
    <row r="84" ht="14.25" spans="1:14">
      <c r="A84" s="4" t="s">
        <v>137</v>
      </c>
      <c r="B84" s="4"/>
      <c r="C84" s="4"/>
      <c r="D84" s="4"/>
      <c r="E84" s="4"/>
      <c r="F84" s="4"/>
      <c r="G84" s="4"/>
      <c r="H84" s="4"/>
      <c r="I84" s="4"/>
      <c r="J84" s="4"/>
      <c r="K84" s="20"/>
      <c r="L84" s="20"/>
      <c r="M84" s="20"/>
      <c r="N84" s="20"/>
    </row>
    <row r="85" ht="14.25" spans="1:14">
      <c r="A85" s="6" t="s">
        <v>138</v>
      </c>
      <c r="B85" s="6" t="s">
        <v>6</v>
      </c>
      <c r="C85" s="6" t="s">
        <v>7</v>
      </c>
      <c r="D85" s="6" t="s">
        <v>8</v>
      </c>
      <c r="E85" s="6" t="s">
        <v>9</v>
      </c>
      <c r="F85" s="6" t="s">
        <v>10</v>
      </c>
      <c r="G85" s="6" t="s">
        <v>11</v>
      </c>
      <c r="H85" s="6" t="s">
        <v>12</v>
      </c>
      <c r="I85" s="6" t="s">
        <v>13</v>
      </c>
      <c r="J85" s="6" t="s">
        <v>14</v>
      </c>
      <c r="K85" s="6" t="s">
        <v>15</v>
      </c>
      <c r="L85" s="6" t="s">
        <v>16</v>
      </c>
      <c r="M85" s="6" t="s">
        <v>17</v>
      </c>
      <c r="N85" s="6" t="s">
        <v>144</v>
      </c>
    </row>
    <row r="86" ht="14.25" spans="1:14">
      <c r="A86" s="25" t="s">
        <v>128</v>
      </c>
      <c r="B86" s="26">
        <v>0.66</v>
      </c>
      <c r="C86" s="25">
        <v>0.955</v>
      </c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8">
        <v>0.8075</v>
      </c>
    </row>
    <row r="87" ht="14.25" spans="1:14">
      <c r="A87" s="25" t="s">
        <v>129</v>
      </c>
      <c r="B87" s="26">
        <v>204</v>
      </c>
      <c r="C87" s="25">
        <v>234</v>
      </c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8">
        <v>219</v>
      </c>
    </row>
    <row r="88" ht="14.25" spans="1:14">
      <c r="A88" s="10" t="s">
        <v>130</v>
      </c>
      <c r="B88" s="26">
        <v>2760.78</v>
      </c>
      <c r="C88" s="25">
        <v>2907.95</v>
      </c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</row>
    <row r="89" ht="14.25" spans="1:14">
      <c r="A89" s="11" t="s">
        <v>135</v>
      </c>
      <c r="B89" s="29">
        <v>11165</v>
      </c>
      <c r="C89" s="30">
        <v>11239</v>
      </c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>
        <v>22404</v>
      </c>
    </row>
    <row r="90" ht="14.25" spans="1:14">
      <c r="A90" s="14" t="s">
        <v>136</v>
      </c>
      <c r="B90" s="21">
        <v>30824.1087</v>
      </c>
      <c r="C90" s="22">
        <v>32682.45005</v>
      </c>
      <c r="D90" s="21">
        <v>0</v>
      </c>
      <c r="E90" s="24">
        <v>0</v>
      </c>
      <c r="F90" s="32">
        <v>0</v>
      </c>
      <c r="G90" s="24">
        <v>0</v>
      </c>
      <c r="H90" s="21">
        <v>0</v>
      </c>
      <c r="I90" s="24">
        <v>0</v>
      </c>
      <c r="J90" s="24">
        <v>0</v>
      </c>
      <c r="K90" s="24">
        <v>0</v>
      </c>
      <c r="L90" s="24">
        <v>0</v>
      </c>
      <c r="M90" s="24">
        <v>0</v>
      </c>
      <c r="N90" s="24">
        <v>63506.55875</v>
      </c>
    </row>
    <row r="91" ht="14.25" spans="1:14">
      <c r="A91" s="14" t="s">
        <v>139</v>
      </c>
      <c r="B91" s="21">
        <v>123294.4671</v>
      </c>
      <c r="C91" s="22">
        <v>107853.81233</v>
      </c>
      <c r="D91" s="21">
        <v>59527.99864</v>
      </c>
      <c r="E91" s="21">
        <v>59084.0572</v>
      </c>
      <c r="F91" s="21">
        <v>70903.8540664503</v>
      </c>
      <c r="G91" s="21">
        <v>72028.24692</v>
      </c>
      <c r="H91" s="21">
        <v>75054.0195</v>
      </c>
      <c r="I91" s="21">
        <v>75401.62323</v>
      </c>
      <c r="J91" s="21">
        <v>76163.29002</v>
      </c>
      <c r="K91" s="21">
        <v>0</v>
      </c>
      <c r="L91" s="21">
        <v>0</v>
      </c>
      <c r="M91" s="21">
        <v>0</v>
      </c>
      <c r="N91" s="21">
        <v>719311.36900645</v>
      </c>
    </row>
    <row r="92" ht="14.25" spans="1:14">
      <c r="A92" s="33"/>
      <c r="B92" s="34"/>
      <c r="C92" s="35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</row>
    <row r="93" ht="14.25" spans="1:14">
      <c r="A93" s="33"/>
      <c r="B93" s="34"/>
      <c r="C93" s="35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</row>
    <row r="94" ht="14.25" spans="1:14">
      <c r="A94" s="33"/>
      <c r="B94" s="34"/>
      <c r="C94" s="35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</row>
    <row r="95" ht="14.25" spans="1:14">
      <c r="A95" s="33"/>
      <c r="B95" s="34"/>
      <c r="C95" s="35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</row>
    <row r="96" ht="18.75" spans="1:14">
      <c r="A96" s="3" t="s">
        <v>145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ht="14.25" spans="1:14">
      <c r="A97" s="4" t="s">
        <v>146</v>
      </c>
      <c r="B97" s="4"/>
      <c r="C97" s="4"/>
      <c r="D97" s="4"/>
      <c r="E97" s="4"/>
      <c r="F97" s="4"/>
      <c r="G97" s="4"/>
      <c r="H97" s="4"/>
      <c r="I97" s="4"/>
      <c r="J97" s="4"/>
      <c r="K97" s="20"/>
      <c r="L97" s="20"/>
      <c r="M97" s="20"/>
      <c r="N97" s="20"/>
    </row>
    <row r="98" ht="14.25" spans="1:14">
      <c r="A98" s="6" t="s">
        <v>138</v>
      </c>
      <c r="B98" s="6" t="s">
        <v>6</v>
      </c>
      <c r="C98" s="6" t="s">
        <v>7</v>
      </c>
      <c r="D98" s="6" t="s">
        <v>8</v>
      </c>
      <c r="E98" s="6" t="s">
        <v>9</v>
      </c>
      <c r="F98" s="6" t="s">
        <v>10</v>
      </c>
      <c r="G98" s="6" t="s">
        <v>11</v>
      </c>
      <c r="H98" s="6" t="s">
        <v>12</v>
      </c>
      <c r="I98" s="6" t="s">
        <v>13</v>
      </c>
      <c r="J98" s="6" t="s">
        <v>14</v>
      </c>
      <c r="K98" s="6" t="s">
        <v>15</v>
      </c>
      <c r="L98" s="6" t="s">
        <v>16</v>
      </c>
      <c r="M98" s="6" t="s">
        <v>17</v>
      </c>
      <c r="N98" s="6" t="s">
        <v>144</v>
      </c>
    </row>
    <row r="99" ht="14.25" spans="1:14">
      <c r="A99" s="25" t="s">
        <v>128</v>
      </c>
      <c r="B99" s="26"/>
      <c r="C99" s="25"/>
      <c r="D99" s="26">
        <v>0.682</v>
      </c>
      <c r="E99" s="26">
        <v>0.835</v>
      </c>
      <c r="F99" s="26">
        <v>0.81</v>
      </c>
      <c r="G99" s="26">
        <v>0.83</v>
      </c>
      <c r="H99" s="26">
        <v>0.794</v>
      </c>
      <c r="I99" s="26">
        <v>0.717</v>
      </c>
      <c r="J99" s="26">
        <v>0.8752</v>
      </c>
      <c r="K99" s="26"/>
      <c r="L99" s="26"/>
      <c r="M99" s="26"/>
      <c r="N99" s="28">
        <v>0.791885714285714</v>
      </c>
    </row>
    <row r="100" ht="14.25" spans="1:14">
      <c r="A100" s="25" t="s">
        <v>129</v>
      </c>
      <c r="B100" s="26"/>
      <c r="C100" s="25"/>
      <c r="D100" s="26">
        <v>271.6</v>
      </c>
      <c r="E100" s="26">
        <v>253.6</v>
      </c>
      <c r="F100" s="26">
        <v>252.1</v>
      </c>
      <c r="G100" s="26">
        <v>252.3</v>
      </c>
      <c r="H100" s="26">
        <v>259.8</v>
      </c>
      <c r="I100" s="26">
        <v>267.5</v>
      </c>
      <c r="J100" s="26">
        <v>255.98</v>
      </c>
      <c r="K100" s="26"/>
      <c r="L100" s="26"/>
      <c r="M100" s="26"/>
      <c r="N100" s="28">
        <v>258.982857142857</v>
      </c>
    </row>
    <row r="101" ht="14.25" spans="1:14">
      <c r="A101" s="10" t="s">
        <v>130</v>
      </c>
      <c r="B101" s="26"/>
      <c r="C101" s="25"/>
      <c r="D101" s="26">
        <v>2999.08</v>
      </c>
      <c r="E101" s="26">
        <v>2955.58</v>
      </c>
      <c r="F101" s="26">
        <v>2954.73174099754</v>
      </c>
      <c r="G101" s="26">
        <v>2952.95</v>
      </c>
      <c r="H101" s="26">
        <v>2970.37</v>
      </c>
      <c r="I101" s="26">
        <v>2989.31</v>
      </c>
      <c r="J101" s="26">
        <v>2959.32</v>
      </c>
      <c r="K101" s="26"/>
      <c r="L101" s="26"/>
      <c r="M101" s="26"/>
      <c r="N101" s="26"/>
    </row>
    <row r="102" ht="14.25" spans="1:14">
      <c r="A102" s="11" t="s">
        <v>135</v>
      </c>
      <c r="B102" s="29"/>
      <c r="C102" s="30"/>
      <c r="D102" s="29">
        <v>10448.3</v>
      </c>
      <c r="E102" s="29">
        <v>19926.7</v>
      </c>
      <c r="F102" s="29">
        <v>10785.06</v>
      </c>
      <c r="G102" s="29">
        <v>8337.35</v>
      </c>
      <c r="H102" s="29">
        <v>9225.94</v>
      </c>
      <c r="I102" s="29">
        <v>8485.37</v>
      </c>
      <c r="J102" s="29">
        <v>9831.07</v>
      </c>
      <c r="K102" s="29"/>
      <c r="L102" s="29"/>
      <c r="M102" s="29"/>
      <c r="N102" s="29">
        <v>77039.79</v>
      </c>
    </row>
    <row r="103" ht="14.25" spans="1:14">
      <c r="A103" s="14" t="s">
        <v>136</v>
      </c>
      <c r="B103" s="21">
        <v>0</v>
      </c>
      <c r="C103" s="22">
        <v>0</v>
      </c>
      <c r="D103" s="21">
        <v>31335.287564</v>
      </c>
      <c r="E103" s="24">
        <v>58894.955986</v>
      </c>
      <c r="F103" s="32">
        <v>31866.9591105629</v>
      </c>
      <c r="G103" s="24">
        <v>24619.7776825</v>
      </c>
      <c r="H103" s="21">
        <v>27404.4553978</v>
      </c>
      <c r="I103" s="24">
        <v>25365.4013947</v>
      </c>
      <c r="J103" s="24">
        <v>29093.2820724</v>
      </c>
      <c r="K103" s="24">
        <v>0</v>
      </c>
      <c r="L103" s="24">
        <v>0</v>
      </c>
      <c r="M103" s="24">
        <v>0</v>
      </c>
      <c r="N103" s="24">
        <v>228580.119207963</v>
      </c>
    </row>
    <row r="104" ht="14.25" spans="1:14">
      <c r="A104" s="19" t="s">
        <v>141</v>
      </c>
      <c r="B104" s="19"/>
      <c r="C104" s="19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</row>
    <row r="105" ht="14.25" spans="1:14">
      <c r="A105" s="14" t="s">
        <v>136</v>
      </c>
      <c r="B105" s="21">
        <v>151470</v>
      </c>
      <c r="C105" s="22">
        <v>165040</v>
      </c>
      <c r="D105" s="23">
        <v>103044</v>
      </c>
      <c r="E105" s="24">
        <v>0</v>
      </c>
      <c r="F105" s="24"/>
      <c r="G105" s="24"/>
      <c r="H105" s="24"/>
      <c r="I105" s="24"/>
      <c r="J105" s="24"/>
      <c r="K105" s="24"/>
      <c r="L105" s="24"/>
      <c r="M105" s="24"/>
      <c r="N105" s="24">
        <v>419554</v>
      </c>
    </row>
  </sheetData>
  <mergeCells count="11">
    <mergeCell ref="A52:N52"/>
    <mergeCell ref="A53:J53"/>
    <mergeCell ref="A60:J60"/>
    <mergeCell ref="A70:N70"/>
    <mergeCell ref="A71:C71"/>
    <mergeCell ref="A76:N76"/>
    <mergeCell ref="A77:J77"/>
    <mergeCell ref="A84:J84"/>
    <mergeCell ref="A96:N96"/>
    <mergeCell ref="A97:J97"/>
    <mergeCell ref="A104:C10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25年对比</vt:lpstr>
      <vt:lpstr>供热相关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UP1!</dc:creator>
  <cp:lastModifiedBy>感恩</cp:lastModifiedBy>
  <dcterms:created xsi:type="dcterms:W3CDTF">2023-05-12T11:15:00Z</dcterms:created>
  <dcterms:modified xsi:type="dcterms:W3CDTF">2025-12-22T08:37:33Z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DC25C5F9DA7E4F7AB46154621E33D774_13</vt:lpwstr>
  </property>
  <property fmtid="{D5CDD505-2E9C-101B-9397-08002B2CF9AE}" pid="4" name="CalculationRule">
    <vt:i4>0</vt:i4>
  </property>
</Properties>
</file>